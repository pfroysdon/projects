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38" yWindow="100" windowWidth="14801" windowHeight="8014"/>
  </bookViews>
  <sheets>
    <sheet name="Tabular Calculator" sheetId="4" r:id="rId1"/>
    <sheet name="Single Input Calculator" sheetId="3" r:id="rId2"/>
  </sheets>
  <functionGroups builtInGroupCount="18"/>
  <calcPr calcId="152511"/>
</workbook>
</file>

<file path=xl/calcChain.xml><?xml version="1.0" encoding="utf-8"?>
<calcChain xmlns="http://schemas.openxmlformats.org/spreadsheetml/2006/main">
  <c r="G15" i="4" l="1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14" i="4"/>
  <c r="D15" i="4"/>
  <c r="D19" i="4"/>
  <c r="D23" i="4"/>
  <c r="D27" i="4"/>
  <c r="D31" i="4"/>
  <c r="D35" i="4"/>
  <c r="D39" i="4"/>
  <c r="D43" i="4"/>
  <c r="D26" i="4"/>
  <c r="D30" i="4"/>
  <c r="D38" i="4"/>
  <c r="D16" i="4"/>
  <c r="D20" i="4"/>
  <c r="D24" i="4"/>
  <c r="D28" i="4"/>
  <c r="D32" i="4"/>
  <c r="D36" i="4"/>
  <c r="D40" i="4"/>
  <c r="D44" i="4"/>
  <c r="D22" i="4"/>
  <c r="D34" i="4"/>
  <c r="D42" i="4"/>
  <c r="D17" i="4"/>
  <c r="D21" i="4"/>
  <c r="D25" i="4"/>
  <c r="D29" i="4"/>
  <c r="D33" i="4"/>
  <c r="D37" i="4"/>
  <c r="D41" i="4"/>
  <c r="D18" i="4"/>
  <c r="D14" i="4"/>
  <c r="H14" i="4"/>
  <c r="H15" i="4"/>
  <c r="L15" i="4"/>
  <c r="P15" i="4"/>
  <c r="H16" i="4"/>
  <c r="L16" i="4"/>
  <c r="P16" i="4"/>
  <c r="H17" i="4"/>
  <c r="L17" i="4"/>
  <c r="P17" i="4"/>
  <c r="H18" i="4"/>
  <c r="L18" i="4"/>
  <c r="P18" i="4"/>
  <c r="H19" i="4"/>
  <c r="L19" i="4"/>
  <c r="P19" i="4"/>
  <c r="H20" i="4"/>
  <c r="L20" i="4"/>
  <c r="P20" i="4"/>
  <c r="H21" i="4"/>
  <c r="L21" i="4"/>
  <c r="P21" i="4"/>
  <c r="H22" i="4"/>
  <c r="L22" i="4"/>
  <c r="P22" i="4"/>
  <c r="H23" i="4"/>
  <c r="L23" i="4"/>
  <c r="P23" i="4"/>
  <c r="H24" i="4"/>
  <c r="L24" i="4"/>
  <c r="P24" i="4"/>
  <c r="H25" i="4"/>
  <c r="L25" i="4"/>
  <c r="P25" i="4"/>
  <c r="H26" i="4"/>
  <c r="L26" i="4"/>
  <c r="P26" i="4"/>
  <c r="H27" i="4"/>
  <c r="L27" i="4"/>
  <c r="P27" i="4"/>
  <c r="H28" i="4"/>
  <c r="L28" i="4"/>
  <c r="P28" i="4"/>
  <c r="H29" i="4"/>
  <c r="L29" i="4"/>
  <c r="P29" i="4"/>
  <c r="H30" i="4"/>
  <c r="L31" i="4"/>
  <c r="P32" i="4"/>
  <c r="H34" i="4"/>
  <c r="L35" i="4"/>
  <c r="P36" i="4"/>
  <c r="H38" i="4"/>
  <c r="L39" i="4"/>
  <c r="P40" i="4"/>
  <c r="H42" i="4"/>
  <c r="L43" i="4"/>
  <c r="P44" i="4"/>
  <c r="H32" i="4"/>
  <c r="P34" i="4"/>
  <c r="L37" i="4"/>
  <c r="H40" i="4"/>
  <c r="P42" i="4"/>
  <c r="H44" i="4"/>
  <c r="L32" i="4"/>
  <c r="H35" i="4"/>
  <c r="P37" i="4"/>
  <c r="L40" i="4"/>
  <c r="H43" i="4"/>
  <c r="L30" i="4"/>
  <c r="P31" i="4"/>
  <c r="H33" i="4"/>
  <c r="L34" i="4"/>
  <c r="P35" i="4"/>
  <c r="H37" i="4"/>
  <c r="L38" i="4"/>
  <c r="P39" i="4"/>
  <c r="H41" i="4"/>
  <c r="L42" i="4"/>
  <c r="P43" i="4"/>
  <c r="P30" i="4"/>
  <c r="L33" i="4"/>
  <c r="H36" i="4"/>
  <c r="P38" i="4"/>
  <c r="L41" i="4"/>
  <c r="H31" i="4"/>
  <c r="P33" i="4"/>
  <c r="L36" i="4"/>
  <c r="H39" i="4"/>
  <c r="P41" i="4"/>
  <c r="L44" i="4"/>
  <c r="O15" i="4"/>
  <c r="O18" i="4"/>
  <c r="K21" i="4"/>
  <c r="S23" i="4"/>
  <c r="O26" i="4"/>
  <c r="K29" i="4"/>
  <c r="K17" i="4"/>
  <c r="K25" i="4"/>
  <c r="S17" i="4"/>
  <c r="K23" i="4"/>
  <c r="O28" i="4"/>
  <c r="K16" i="4"/>
  <c r="K19" i="4"/>
  <c r="S21" i="4"/>
  <c r="O24" i="4"/>
  <c r="K27" i="4"/>
  <c r="S29" i="4"/>
  <c r="S19" i="4"/>
  <c r="O22" i="4"/>
  <c r="S27" i="4"/>
  <c r="O20" i="4"/>
  <c r="S25" i="4"/>
  <c r="O30" i="4"/>
  <c r="K33" i="4"/>
  <c r="S35" i="4"/>
  <c r="S38" i="4"/>
  <c r="O34" i="4"/>
  <c r="K37" i="4"/>
  <c r="O32" i="4"/>
  <c r="I15" i="4"/>
  <c r="K31" i="4"/>
  <c r="S33" i="4"/>
  <c r="O36" i="4"/>
  <c r="O39" i="4"/>
  <c r="S31" i="4"/>
  <c r="O40" i="4"/>
  <c r="K35" i="4"/>
  <c r="S37" i="4"/>
  <c r="M15" i="4"/>
  <c r="Q15" i="4"/>
  <c r="I16" i="4"/>
  <c r="M16" i="4"/>
  <c r="Q16" i="4"/>
  <c r="I17" i="4"/>
  <c r="M17" i="4"/>
  <c r="Q17" i="4"/>
  <c r="I18" i="4"/>
  <c r="M18" i="4"/>
  <c r="Q18" i="4"/>
  <c r="I19" i="4"/>
  <c r="M19" i="4"/>
  <c r="Q19" i="4"/>
  <c r="I20" i="4"/>
  <c r="M20" i="4"/>
  <c r="Q20" i="4"/>
  <c r="I21" i="4"/>
  <c r="M21" i="4"/>
  <c r="Q21" i="4"/>
  <c r="I22" i="4"/>
  <c r="M22" i="4"/>
  <c r="Q22" i="4"/>
  <c r="I23" i="4"/>
  <c r="M23" i="4"/>
  <c r="Q23" i="4"/>
  <c r="I24" i="4"/>
  <c r="M24" i="4"/>
  <c r="Q24" i="4"/>
  <c r="I25" i="4"/>
  <c r="M25" i="4"/>
  <c r="Q25" i="4"/>
  <c r="I26" i="4"/>
  <c r="M26" i="4"/>
  <c r="Q26" i="4"/>
  <c r="I27" i="4"/>
  <c r="M27" i="4"/>
  <c r="Q27" i="4"/>
  <c r="I28" i="4"/>
  <c r="Q28" i="4"/>
  <c r="M28" i="4"/>
  <c r="I29" i="4"/>
  <c r="M29" i="4"/>
  <c r="Q29" i="4"/>
  <c r="I30" i="4"/>
  <c r="M31" i="4"/>
  <c r="Q32" i="4"/>
  <c r="I34" i="4"/>
  <c r="M35" i="4"/>
  <c r="Q36" i="4"/>
  <c r="I38" i="4"/>
  <c r="M39" i="4"/>
  <c r="Q40" i="4"/>
  <c r="I42" i="4"/>
  <c r="M43" i="4"/>
  <c r="Q44" i="4"/>
  <c r="M30" i="4"/>
  <c r="Q31" i="4"/>
  <c r="I33" i="4"/>
  <c r="M34" i="4"/>
  <c r="Q35" i="4"/>
  <c r="I37" i="4"/>
  <c r="M38" i="4"/>
  <c r="Q39" i="4"/>
  <c r="I41" i="4"/>
  <c r="M42" i="4"/>
  <c r="Q43" i="4"/>
  <c r="Q30" i="4"/>
  <c r="I32" i="4"/>
  <c r="M33" i="4"/>
  <c r="Q34" i="4"/>
  <c r="I36" i="4"/>
  <c r="M37" i="4"/>
  <c r="Q38" i="4"/>
  <c r="I40" i="4"/>
  <c r="M41" i="4"/>
  <c r="Q42" i="4"/>
  <c r="I44" i="4"/>
  <c r="I31" i="4"/>
  <c r="M32" i="4"/>
  <c r="Q33" i="4"/>
  <c r="I35" i="4"/>
  <c r="M36" i="4"/>
  <c r="Q37" i="4"/>
  <c r="I39" i="4"/>
  <c r="M40" i="4"/>
  <c r="Q41" i="4"/>
  <c r="I43" i="4"/>
  <c r="M44" i="4"/>
  <c r="S15" i="4"/>
  <c r="K18" i="4"/>
  <c r="S20" i="4"/>
  <c r="O23" i="4"/>
  <c r="K26" i="4"/>
  <c r="S28" i="4"/>
  <c r="O29" i="4"/>
  <c r="O19" i="4"/>
  <c r="S24" i="4"/>
  <c r="O17" i="4"/>
  <c r="S22" i="4"/>
  <c r="K28" i="4"/>
  <c r="O16" i="4"/>
  <c r="S18" i="4"/>
  <c r="O21" i="4"/>
  <c r="K24" i="4"/>
  <c r="S26" i="4"/>
  <c r="S16" i="4"/>
  <c r="K22" i="4"/>
  <c r="O27" i="4"/>
  <c r="K20" i="4"/>
  <c r="O25" i="4"/>
  <c r="K30" i="4"/>
  <c r="S32" i="4"/>
  <c r="O35" i="4"/>
  <c r="O38" i="4"/>
  <c r="S30" i="4"/>
  <c r="O33" i="4"/>
  <c r="K36" i="4"/>
  <c r="K39" i="4"/>
  <c r="O31" i="4"/>
  <c r="K34" i="4"/>
  <c r="S36" i="4"/>
  <c r="K40" i="4"/>
  <c r="K32" i="4"/>
  <c r="S34" i="4"/>
  <c r="O37" i="4"/>
  <c r="J15" i="4"/>
  <c r="N16" i="4"/>
  <c r="R17" i="4"/>
  <c r="J19" i="4"/>
  <c r="N20" i="4"/>
  <c r="R21" i="4"/>
  <c r="J23" i="4"/>
  <c r="N24" i="4"/>
  <c r="R25" i="4"/>
  <c r="J27" i="4"/>
  <c r="N28" i="4"/>
  <c r="R29" i="4"/>
  <c r="N15" i="4"/>
  <c r="R16" i="4"/>
  <c r="J18" i="4"/>
  <c r="N19" i="4"/>
  <c r="J22" i="4"/>
  <c r="N23" i="4"/>
  <c r="J26" i="4"/>
  <c r="R15" i="4"/>
  <c r="J21" i="4"/>
  <c r="N26" i="4"/>
  <c r="N17" i="4"/>
  <c r="N21" i="4"/>
  <c r="R26" i="4"/>
  <c r="R20" i="4"/>
  <c r="R24" i="4"/>
  <c r="N27" i="4"/>
  <c r="R28" i="4"/>
  <c r="J17" i="4"/>
  <c r="N18" i="4"/>
  <c r="R19" i="4"/>
  <c r="N22" i="4"/>
  <c r="R23" i="4"/>
  <c r="J25" i="4"/>
  <c r="R27" i="4"/>
  <c r="J29" i="4"/>
  <c r="J16" i="4"/>
  <c r="R18" i="4"/>
  <c r="J20" i="4"/>
  <c r="R22" i="4"/>
  <c r="J24" i="4"/>
  <c r="N25" i="4"/>
  <c r="J28" i="4"/>
  <c r="N29" i="4"/>
  <c r="J30" i="4"/>
  <c r="N31" i="4"/>
  <c r="R32" i="4"/>
  <c r="J34" i="4"/>
  <c r="N35" i="4"/>
  <c r="R36" i="4"/>
  <c r="J38" i="4"/>
  <c r="N39" i="4"/>
  <c r="R40" i="4"/>
  <c r="J42" i="4"/>
  <c r="N43" i="4"/>
  <c r="R44" i="4"/>
  <c r="N30" i="4"/>
  <c r="R31" i="4"/>
  <c r="J33" i="4"/>
  <c r="N34" i="4"/>
  <c r="R35" i="4"/>
  <c r="J37" i="4"/>
  <c r="N38" i="4"/>
  <c r="R39" i="4"/>
  <c r="J41" i="4"/>
  <c r="N42" i="4"/>
  <c r="R43" i="4"/>
  <c r="R30" i="4"/>
  <c r="J32" i="4"/>
  <c r="N33" i="4"/>
  <c r="R34" i="4"/>
  <c r="J36" i="4"/>
  <c r="N37" i="4"/>
  <c r="R38" i="4"/>
  <c r="J40" i="4"/>
  <c r="N41" i="4"/>
  <c r="R42" i="4"/>
  <c r="J44" i="4"/>
  <c r="J31" i="4"/>
  <c r="N32" i="4"/>
  <c r="R33" i="4"/>
  <c r="J35" i="4"/>
  <c r="N36" i="4"/>
  <c r="R37" i="4"/>
  <c r="J39" i="4"/>
  <c r="N40" i="4"/>
  <c r="R41" i="4"/>
  <c r="J43" i="4"/>
  <c r="N44" i="4"/>
  <c r="K15" i="4"/>
  <c r="K38" i="4"/>
  <c r="O42" i="4"/>
  <c r="S42" i="4"/>
  <c r="K43" i="4"/>
  <c r="S39" i="4"/>
  <c r="S43" i="4"/>
  <c r="K44" i="4"/>
  <c r="O44" i="4"/>
  <c r="S40" i="4"/>
  <c r="S44" i="4"/>
  <c r="O43" i="4"/>
  <c r="K42" i="4"/>
  <c r="K41" i="4"/>
  <c r="O41" i="4"/>
  <c r="S41" i="4"/>
  <c r="I14" i="4"/>
  <c r="D26" i="3" l="1"/>
  <c r="D25" i="3"/>
  <c r="D22" i="3"/>
  <c r="D23" i="3" s="1"/>
  <c r="D24" i="3" s="1"/>
  <c r="D28" i="3" s="1"/>
  <c r="D34" i="3" s="1"/>
  <c r="D16" i="3"/>
  <c r="D5" i="3"/>
  <c r="D6" i="3" s="1"/>
  <c r="D17" i="3" s="1"/>
  <c r="M14" i="4"/>
  <c r="R14" i="4"/>
  <c r="S14" i="4"/>
  <c r="Q14" i="4"/>
  <c r="P14" i="4"/>
  <c r="L14" i="4"/>
  <c r="J14" i="4"/>
  <c r="K14" i="4"/>
  <c r="N14" i="4"/>
  <c r="O14" i="4"/>
  <c r="D18" i="3" l="1"/>
</calcChain>
</file>

<file path=xl/sharedStrings.xml><?xml version="1.0" encoding="utf-8"?>
<sst xmlns="http://schemas.openxmlformats.org/spreadsheetml/2006/main" count="97" uniqueCount="59">
  <si>
    <t>E</t>
  </si>
  <si>
    <t>M</t>
  </si>
  <si>
    <t>mm</t>
  </si>
  <si>
    <t>Balance wheel (rotational) moment of inertia</t>
  </si>
  <si>
    <t>mg*cm^2</t>
  </si>
  <si>
    <t>ksi</t>
  </si>
  <si>
    <t>N/mm^2</t>
  </si>
  <si>
    <t>Name</t>
  </si>
  <si>
    <t>Variable</t>
  </si>
  <si>
    <t>Value</t>
  </si>
  <si>
    <t>Units</t>
  </si>
  <si>
    <t>I</t>
  </si>
  <si>
    <t>f</t>
  </si>
  <si>
    <t>Hairspring modulus of elasticity</t>
  </si>
  <si>
    <t>Oscillator frequency</t>
  </si>
  <si>
    <t>Hairspring inner diameter</t>
  </si>
  <si>
    <t>Hairspring outer diameter</t>
  </si>
  <si>
    <t>N*mm / rad</t>
  </si>
  <si>
    <t>D_i</t>
  </si>
  <si>
    <t>D_o</t>
  </si>
  <si>
    <t>number of coils</t>
  </si>
  <si>
    <t>c_n</t>
  </si>
  <si>
    <t>#</t>
  </si>
  <si>
    <t>h</t>
  </si>
  <si>
    <t>e</t>
  </si>
  <si>
    <t>wire thickness</t>
  </si>
  <si>
    <t>wire height</t>
  </si>
  <si>
    <t>Length (textbook calculation)</t>
  </si>
  <si>
    <t>Elastic torque of the hairspring (textbook calculation)</t>
  </si>
  <si>
    <t>L</t>
  </si>
  <si>
    <t>Young's Modulus (textbook calculation)</t>
  </si>
  <si>
    <t>Hz = 1/s</t>
  </si>
  <si>
    <t>deltaR</t>
  </si>
  <si>
    <t>b</t>
  </si>
  <si>
    <t>b_c</t>
  </si>
  <si>
    <t>a</t>
  </si>
  <si>
    <t>wire thickness (iterated guess)</t>
  </si>
  <si>
    <t>wire height (iterated guess)</t>
  </si>
  <si>
    <t>Young's Modulus (derived)</t>
  </si>
  <si>
    <t>Length (derived)</t>
  </si>
  <si>
    <t>coil spacing</t>
  </si>
  <si>
    <t>coil spacing (polar coord)</t>
  </si>
  <si>
    <t>distance from origin to start of spiral</t>
  </si>
  <si>
    <t>-</t>
  </si>
  <si>
    <t>theta</t>
  </si>
  <si>
    <t>rotations</t>
  </si>
  <si>
    <t>rad</t>
  </si>
  <si>
    <t>c</t>
  </si>
  <si>
    <t>start of spiral</t>
  </si>
  <si>
    <t>The following calculations are based on textbook equations</t>
  </si>
  <si>
    <t>The following calculations were derived in the technical note</t>
  </si>
  <si>
    <t>The following calculations can be iterated until reasonable values are found for e, h, and E</t>
  </si>
  <si>
    <t>Input values are in yellow boxes, everything else are calcuated values, results are in BOLD</t>
  </si>
  <si>
    <t>Input values are in yellow boxes</t>
  </si>
  <si>
    <t>Calculate L</t>
  </si>
  <si>
    <t>h (mm)</t>
  </si>
  <si>
    <t>e (mm)</t>
  </si>
  <si>
    <t>L (mm)</t>
  </si>
  <si>
    <t>Calculate E (1 x 10^3 ksi)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</si>
</sst>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0.0"/>
    <numFmt numFmtId="165" formatCode="0.000"/>
    <numFmt numFmtId="167" formatCode="0.0000E+00"/>
    <numFmt numFmtId="169" formatCode="_(* #,##0.0_);_(* \(#,##0.0\);_(* &quot;-&quot;??_);_(@_)"/>
    <numFmt numFmtId="170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Border="1"/>
    <xf numFmtId="164" fontId="0" fillId="0" borderId="0" xfId="0" applyNumberFormat="1"/>
    <xf numFmtId="167" fontId="0" fillId="0" borderId="0" xfId="0" applyNumberFormat="1"/>
    <xf numFmtId="2" fontId="0" fillId="0" borderId="7" xfId="0" applyNumberFormat="1" applyBorder="1"/>
    <xf numFmtId="2" fontId="0" fillId="3" borderId="7" xfId="0" applyNumberFormat="1" applyFill="1" applyBorder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0" fillId="0" borderId="10" xfId="0" applyBorder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2" borderId="1" xfId="0" applyFill="1" applyBorder="1"/>
    <xf numFmtId="4" fontId="0" fillId="0" borderId="0" xfId="0" applyNumberFormat="1"/>
    <xf numFmtId="0" fontId="0" fillId="0" borderId="0" xfId="0" applyFill="1" applyBorder="1" applyAlignment="1">
      <alignment horizontal="center" vertical="center"/>
    </xf>
    <xf numFmtId="0" fontId="0" fillId="2" borderId="13" xfId="0" applyFill="1" applyBorder="1"/>
    <xf numFmtId="165" fontId="0" fillId="0" borderId="0" xfId="0" applyNumberFormat="1"/>
    <xf numFmtId="170" fontId="0" fillId="2" borderId="1" xfId="1" applyNumberFormat="1" applyFont="1" applyFill="1" applyBorder="1"/>
    <xf numFmtId="2" fontId="0" fillId="0" borderId="0" xfId="0" applyNumberFormat="1"/>
    <xf numFmtId="3" fontId="0" fillId="2" borderId="1" xfId="0" applyNumberFormat="1" applyFill="1" applyBorder="1"/>
    <xf numFmtId="0" fontId="0" fillId="0" borderId="0" xfId="0" applyFill="1" applyBorder="1"/>
    <xf numFmtId="43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 applyFill="1" applyBorder="1" applyAlignment="1">
      <alignment horizontal="center" vertical="center"/>
    </xf>
    <xf numFmtId="164" fontId="1" fillId="0" borderId="0" xfId="0" applyNumberFormat="1" applyFont="1"/>
    <xf numFmtId="0" fontId="1" fillId="0" borderId="0" xfId="0" applyFont="1"/>
    <xf numFmtId="2" fontId="1" fillId="0" borderId="0" xfId="0" applyNumberFormat="1" applyFont="1"/>
    <xf numFmtId="0" fontId="0" fillId="0" borderId="0" xfId="0" applyFill="1" applyAlignment="1">
      <alignment horizontal="right"/>
    </xf>
    <xf numFmtId="0" fontId="0" fillId="0" borderId="0" xfId="0" applyFill="1"/>
    <xf numFmtId="169" fontId="1" fillId="0" borderId="0" xfId="1" applyNumberFormat="1" applyFont="1"/>
    <xf numFmtId="0" fontId="1" fillId="0" borderId="0" xfId="0" applyFont="1" applyBorder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7" xfId="0" applyFill="1" applyBorder="1"/>
    <xf numFmtId="165" fontId="0" fillId="3" borderId="7" xfId="0" applyNumberFormat="1" applyFill="1" applyBorder="1"/>
    <xf numFmtId="0" fontId="1" fillId="0" borderId="12" xfId="0" applyFont="1" applyFill="1" applyBorder="1" applyAlignment="1">
      <alignment horizontal="center"/>
    </xf>
    <xf numFmtId="0" fontId="0" fillId="0" borderId="2" xfId="0" applyFill="1" applyBorder="1"/>
    <xf numFmtId="0" fontId="1" fillId="0" borderId="3" xfId="0" applyFont="1" applyFill="1" applyBorder="1" applyAlignment="1">
      <alignment horizontal="center"/>
    </xf>
    <xf numFmtId="0" fontId="0" fillId="0" borderId="4" xfId="0" applyFill="1" applyBorder="1"/>
    <xf numFmtId="0" fontId="0" fillId="0" borderId="5" xfId="0" applyFill="1" applyBorder="1"/>
    <xf numFmtId="0" fontId="1" fillId="0" borderId="0" xfId="0" applyFont="1" applyFill="1" applyBorder="1" applyAlignment="1">
      <alignment horizontal="center"/>
    </xf>
    <xf numFmtId="0" fontId="0" fillId="0" borderId="8" xfId="0" applyFill="1" applyBorder="1"/>
    <xf numFmtId="0" fontId="1" fillId="0" borderId="11" xfId="0" applyFont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/>
    </xf>
    <xf numFmtId="165" fontId="0" fillId="3" borderId="14" xfId="0" applyNumberFormat="1" applyFill="1" applyBorder="1"/>
    <xf numFmtId="164" fontId="0" fillId="0" borderId="15" xfId="0" applyNumberFormat="1" applyBorder="1"/>
    <xf numFmtId="0" fontId="0" fillId="3" borderId="14" xfId="0" applyFill="1" applyBorder="1"/>
    <xf numFmtId="2" fontId="0" fillId="4" borderId="7" xfId="0" applyNumberFormat="1" applyFill="1" applyBorder="1"/>
    <xf numFmtId="164" fontId="0" fillId="4" borderId="15" xfId="0" applyNumberFormat="1" applyFill="1" applyBorder="1"/>
    <xf numFmtId="2" fontId="0" fillId="0" borderId="7" xfId="0" applyNumberFormat="1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238539</xdr:colOff>
      <xdr:row>40</xdr:row>
      <xdr:rowOff>95415</xdr:rowOff>
    </xdr:from>
    <xdr:ext cx="3657600" cy="761246"/>
    <xdr:sp macro="" textlink="">
      <xdr:nvSpPr>
        <xdr:cNvPr id="3" name="TextBox 2"/>
        <xdr:cNvSpPr txBox="1"/>
      </xdr:nvSpPr>
      <xdr:spPr>
        <a:xfrm>
          <a:off x="12602817" y="8046719"/>
          <a:ext cx="3657600" cy="761246"/>
        </a:xfrm>
        <a:prstGeom prst="rect">
          <a:avLst/>
        </a:prstGeom>
        <a:solidFill>
          <a:srgbClr val="FF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400" b="1">
              <a:solidFill>
                <a:schemeClr val="bg1"/>
              </a:solidFill>
            </a:rPr>
            <a:t>NOTE: Values</a:t>
          </a:r>
          <a:r>
            <a:rPr lang="en-US" sz="1400" b="1" baseline="0">
              <a:solidFill>
                <a:schemeClr val="bg1"/>
              </a:solidFill>
            </a:rPr>
            <a:t> in the Table are theoretical results; actual results may vary depending on physical factors of pinning point, etc.</a:t>
          </a:r>
          <a:endParaRPr lang="en-US" sz="1400" b="1">
            <a:solidFill>
              <a:schemeClr val="bg1"/>
            </a:solidFill>
          </a:endParaRPr>
        </a:p>
      </xdr:txBody>
    </xdr:sp>
    <xdr:clientData/>
  </xdr:oneCellAnchor>
  <xdr:oneCellAnchor>
    <xdr:from>
      <xdr:col>8</xdr:col>
      <xdr:colOff>492980</xdr:colOff>
      <xdr:row>3</xdr:row>
      <xdr:rowOff>87465</xdr:rowOff>
    </xdr:from>
    <xdr:ext cx="5502303" cy="593239"/>
    <xdr:sp macro="" textlink="">
      <xdr:nvSpPr>
        <xdr:cNvPr id="4" name="TextBox 3"/>
        <xdr:cNvSpPr txBox="1"/>
      </xdr:nvSpPr>
      <xdr:spPr>
        <a:xfrm>
          <a:off x="8325015" y="930303"/>
          <a:ext cx="5502303" cy="593239"/>
        </a:xfrm>
        <a:prstGeom prst="rect">
          <a:avLst/>
        </a:prstGeom>
        <a:solidFill>
          <a:srgbClr val="00B05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600" b="1">
              <a:solidFill>
                <a:schemeClr val="bg1"/>
              </a:solidFill>
            </a:rPr>
            <a:t>NOTE: Shapiro values already entered</a:t>
          </a:r>
          <a:r>
            <a:rPr lang="en-US" sz="1600" b="1" baseline="0">
              <a:solidFill>
                <a:schemeClr val="bg1"/>
              </a:solidFill>
            </a:rPr>
            <a:t> in yellow boxes, with results in green boxes in the table below.</a:t>
          </a:r>
          <a:endParaRPr lang="en-US" sz="1600" b="1">
            <a:solidFill>
              <a:schemeClr val="bg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604298</xdr:colOff>
      <xdr:row>25</xdr:row>
      <xdr:rowOff>174928</xdr:rowOff>
    </xdr:from>
    <xdr:ext cx="5502303" cy="593239"/>
    <xdr:sp macro="" textlink="">
      <xdr:nvSpPr>
        <xdr:cNvPr id="2" name="TextBox 1"/>
        <xdr:cNvSpPr txBox="1"/>
      </xdr:nvSpPr>
      <xdr:spPr>
        <a:xfrm>
          <a:off x="7156173" y="5740841"/>
          <a:ext cx="5502303" cy="593239"/>
        </a:xfrm>
        <a:prstGeom prst="rect">
          <a:avLst/>
        </a:prstGeom>
        <a:solidFill>
          <a:srgbClr val="FF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600" b="1">
              <a:solidFill>
                <a:schemeClr val="bg1"/>
              </a:solidFill>
            </a:rPr>
            <a:t>NOTE: Values</a:t>
          </a:r>
          <a:r>
            <a:rPr lang="en-US" sz="1600" b="1" baseline="0">
              <a:solidFill>
                <a:schemeClr val="bg1"/>
              </a:solidFill>
            </a:rPr>
            <a:t> are theoretical results; actual results may vary depending on physical factors of pinning point, etc.</a:t>
          </a:r>
          <a:endParaRPr lang="en-US" sz="1600" b="1">
            <a:solidFill>
              <a:schemeClr val="bg1"/>
            </a:solidFill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V45"/>
  <sheetViews>
    <sheetView tabSelected="1" topLeftCell="A7" workbookViewId="0">
      <selection activeCell="G12" sqref="G12"/>
    </sheetView>
  </sheetViews>
  <sheetFormatPr defaultRowHeight="15.05" x14ac:dyDescent="0.3"/>
  <cols>
    <col min="1" max="1" width="8.88671875" customWidth="1"/>
    <col min="2" max="2" width="39.44140625" customWidth="1"/>
    <col min="4" max="4" width="11.21875" bestFit="1" customWidth="1"/>
    <col min="5" max="5" width="11.21875" customWidth="1"/>
    <col min="6" max="6" width="8.6640625" customWidth="1"/>
    <col min="7" max="16" width="10.5546875" bestFit="1" customWidth="1"/>
  </cols>
  <sheetData>
    <row r="2" spans="2:22" ht="35.700000000000003" customHeight="1" x14ac:dyDescent="0.3">
      <c r="B2" s="33" t="s">
        <v>53</v>
      </c>
      <c r="C2" s="33"/>
      <c r="D2" s="33"/>
      <c r="E2" s="33"/>
      <c r="F2" s="33"/>
    </row>
    <row r="3" spans="2:22" ht="15.65" thickBot="1" x14ac:dyDescent="0.35">
      <c r="B3" t="s">
        <v>7</v>
      </c>
      <c r="C3" t="s">
        <v>8</v>
      </c>
      <c r="D3" t="s">
        <v>9</v>
      </c>
      <c r="E3" t="s">
        <v>10</v>
      </c>
    </row>
    <row r="4" spans="2:22" ht="15.65" thickBot="1" x14ac:dyDescent="0.35">
      <c r="B4" s="11" t="s">
        <v>3</v>
      </c>
      <c r="C4" s="12" t="s">
        <v>11</v>
      </c>
      <c r="D4" s="13">
        <v>25</v>
      </c>
      <c r="E4" t="s">
        <v>4</v>
      </c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</row>
    <row r="5" spans="2:22" ht="15.65" thickBot="1" x14ac:dyDescent="0.35">
      <c r="B5" s="11" t="s">
        <v>14</v>
      </c>
      <c r="C5" s="12" t="s">
        <v>12</v>
      </c>
      <c r="D5" s="13">
        <v>2.5</v>
      </c>
      <c r="E5" t="s">
        <v>31</v>
      </c>
    </row>
    <row r="6" spans="2:22" ht="15.65" thickBot="1" x14ac:dyDescent="0.35">
      <c r="B6" s="11" t="s">
        <v>15</v>
      </c>
      <c r="C6" s="10" t="s">
        <v>18</v>
      </c>
      <c r="D6" s="13">
        <v>1.41</v>
      </c>
      <c r="E6" t="s">
        <v>2</v>
      </c>
    </row>
    <row r="7" spans="2:22" ht="15.65" thickBot="1" x14ac:dyDescent="0.35">
      <c r="B7" s="11" t="s">
        <v>16</v>
      </c>
      <c r="C7" s="15" t="s">
        <v>19</v>
      </c>
      <c r="D7" s="13">
        <v>7.12</v>
      </c>
      <c r="E7" t="s">
        <v>2</v>
      </c>
    </row>
    <row r="8" spans="2:22" ht="15.65" thickBot="1" x14ac:dyDescent="0.35">
      <c r="B8" s="11" t="s">
        <v>20</v>
      </c>
      <c r="C8" s="15" t="s">
        <v>21</v>
      </c>
      <c r="D8" s="18">
        <v>13</v>
      </c>
      <c r="E8" t="s">
        <v>22</v>
      </c>
    </row>
    <row r="10" spans="2:22" ht="15.65" thickBot="1" x14ac:dyDescent="0.35"/>
    <row r="11" spans="2:22" s="29" customFormat="1" x14ac:dyDescent="0.3">
      <c r="B11" s="28"/>
      <c r="C11" s="44" t="s">
        <v>54</v>
      </c>
      <c r="D11" s="45"/>
      <c r="E11" s="24"/>
      <c r="F11" s="37"/>
      <c r="G11" s="38" t="s">
        <v>58</v>
      </c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9"/>
    </row>
    <row r="12" spans="2:22" s="29" customFormat="1" x14ac:dyDescent="0.3">
      <c r="B12" s="28"/>
      <c r="C12" s="46"/>
      <c r="D12" s="47"/>
      <c r="E12" s="24"/>
      <c r="F12" s="40"/>
      <c r="G12" s="41"/>
      <c r="H12" s="36" t="s">
        <v>55</v>
      </c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42"/>
    </row>
    <row r="13" spans="2:22" s="29" customFormat="1" x14ac:dyDescent="0.3">
      <c r="B13" s="28"/>
      <c r="C13" s="46" t="s">
        <v>56</v>
      </c>
      <c r="D13" s="48" t="s">
        <v>57</v>
      </c>
      <c r="E13" s="21"/>
      <c r="F13" s="40"/>
      <c r="G13" s="34"/>
      <c r="H13" s="35">
        <v>0.19</v>
      </c>
      <c r="I13" s="35">
        <v>0.191</v>
      </c>
      <c r="J13" s="35">
        <v>0.192</v>
      </c>
      <c r="K13" s="35">
        <v>0.193</v>
      </c>
      <c r="L13" s="35">
        <v>0.19400000000000001</v>
      </c>
      <c r="M13" s="35">
        <v>0.19500000000000001</v>
      </c>
      <c r="N13" s="35">
        <v>0.19600000000000001</v>
      </c>
      <c r="O13" s="35">
        <v>0.19700000000000001</v>
      </c>
      <c r="P13" s="35">
        <v>0.19800000000000001</v>
      </c>
      <c r="Q13" s="35">
        <v>0.19900000000000001</v>
      </c>
      <c r="R13" s="35">
        <v>0.2</v>
      </c>
      <c r="S13" s="35">
        <v>0.20100000000000001</v>
      </c>
      <c r="T13" s="42"/>
    </row>
    <row r="14" spans="2:22" x14ac:dyDescent="0.3">
      <c r="C14" s="49">
        <v>0.01</v>
      </c>
      <c r="D14" s="50">
        <f>CalcL($D$6,$D$7,$D$8,C14)</f>
        <v>171.55829499791801</v>
      </c>
      <c r="E14" s="2"/>
      <c r="F14" s="43" t="s">
        <v>56</v>
      </c>
      <c r="G14" s="35">
        <f>C14</f>
        <v>0.01</v>
      </c>
      <c r="H14" s="4">
        <f>CalcE($D14,$C14,H$13,$D$4,$D$5)</f>
        <v>969.35947318633646</v>
      </c>
      <c r="I14" s="4">
        <f>CalcE($D14,$C14,I$13,$D$4,$D$5)</f>
        <v>964.28429269844992</v>
      </c>
      <c r="J14" s="4">
        <f>CalcE($D14,$C14,J$13,$D$4,$D$5)</f>
        <v>959.26197867397889</v>
      </c>
      <c r="K14" s="54">
        <f>CalcE($D14,$C14,K$13,$D$4,$D$5)</f>
        <v>954.29170935442448</v>
      </c>
      <c r="L14" s="4">
        <f>CalcE($D14,$C14,L$13,$D$4,$D$5)</f>
        <v>949.37267992476256</v>
      </c>
      <c r="M14" s="4">
        <f>CalcE($D14,$C14,M$13,$D$4,$D$5)</f>
        <v>944.50410207899449</v>
      </c>
      <c r="N14" s="5">
        <f>CalcE($D14,$C14,N$13,$D$4,$D$5)</f>
        <v>939.68520359899958</v>
      </c>
      <c r="O14" s="4">
        <f>CalcE($D14,$C14,O$13,$D$4,$D$5)</f>
        <v>934.91522794621301</v>
      </c>
      <c r="P14" s="4">
        <f>CalcE($D14,$C14,P$13,$D$4,$D$5)</f>
        <v>930.19343386567641</v>
      </c>
      <c r="Q14" s="4">
        <f>CalcE($D14,$C14,Q$13,$D$4,$D$5)</f>
        <v>925.51909500202987</v>
      </c>
      <c r="R14" s="4">
        <f>CalcE($D14,$C14,R$13,$D$4,$D$5)</f>
        <v>920.89149952701973</v>
      </c>
      <c r="S14" s="4">
        <f>CalcE($D14,$C14,S$13,$D$4,$D$5)</f>
        <v>916.30994977812895</v>
      </c>
      <c r="T14" s="6"/>
    </row>
    <row r="15" spans="2:22" x14ac:dyDescent="0.3">
      <c r="C15" s="51">
        <v>1.0999999999999999E-2</v>
      </c>
      <c r="D15" s="50">
        <f t="shared" ref="D15:D44" si="0">CalcL($D$6,$D$7,$D$8,C15)</f>
        <v>171.29273503728803</v>
      </c>
      <c r="E15" s="2"/>
      <c r="F15" s="43"/>
      <c r="G15" s="35">
        <f t="shared" ref="G15:G44" si="1">C15</f>
        <v>1.0999999999999999E-2</v>
      </c>
      <c r="H15" s="4">
        <f>CalcE($D15,$C15,H$13,$D$4,$D$5)</f>
        <v>727.16677243271238</v>
      </c>
      <c r="I15" s="4">
        <f>CalcE($D15,$C15,I$13,$D$4,$D$5)</f>
        <v>723.35961655610129</v>
      </c>
      <c r="J15" s="4">
        <f>CalcE($D15,$C15,J$13,$D$4,$D$5)</f>
        <v>719.59211855320495</v>
      </c>
      <c r="K15" s="54">
        <f>CalcE($D15,$C15,K$13,$D$4,$D$5)</f>
        <v>715.86366198039036</v>
      </c>
      <c r="L15" s="4">
        <f>CalcE($D15,$C15,L$13,$D$4,$D$5)</f>
        <v>712.17364310420282</v>
      </c>
      <c r="M15" s="4">
        <f>CalcE($D15,$C15,M$13,$D$4,$D$5)</f>
        <v>708.52147057546324</v>
      </c>
      <c r="N15" s="5">
        <f>CalcE($D15,$C15,N$13,$D$4,$D$5)</f>
        <v>704.90656511334373</v>
      </c>
      <c r="O15" s="4">
        <f>CalcE($D15,$C15,O$13,$D$4,$D$5)</f>
        <v>701.32835919906267</v>
      </c>
      <c r="P15" s="4">
        <f>CalcE($D15,$C15,P$13,$D$4,$D$5)</f>
        <v>697.78629677886545</v>
      </c>
      <c r="Q15" s="4">
        <f>CalcE($D15,$C15,Q$13,$D$4,$D$5)</f>
        <v>694.27983297595654</v>
      </c>
      <c r="R15" s="4">
        <f>CalcE($D15,$C15,R$13,$D$4,$D$5)</f>
        <v>690.80843381107672</v>
      </c>
      <c r="S15" s="4">
        <f>CalcE($D15,$C15,S$13,$D$4,$D$5)</f>
        <v>687.37157593141967</v>
      </c>
      <c r="T15" s="6"/>
    </row>
    <row r="16" spans="2:22" x14ac:dyDescent="0.3">
      <c r="C16" s="49">
        <v>1.2E-2</v>
      </c>
      <c r="D16" s="50">
        <f t="shared" si="0"/>
        <v>171.02717516561526</v>
      </c>
      <c r="E16" s="2"/>
      <c r="F16" s="43"/>
      <c r="G16" s="35">
        <f t="shared" si="1"/>
        <v>1.2E-2</v>
      </c>
      <c r="H16" s="4">
        <f>CalcE($D16,$C16,H$13,$D$4,$D$5)</f>
        <v>559.23522889593767</v>
      </c>
      <c r="I16" s="4">
        <f>CalcE($D16,$C16,I$13,$D$4,$D$5)</f>
        <v>556.30729576035674</v>
      </c>
      <c r="J16" s="4">
        <f>CalcE($D16,$C16,J$13,$D$4,$D$5)</f>
        <v>553.40986192827165</v>
      </c>
      <c r="K16" s="54">
        <f>CalcE($D16,$C16,K$13,$D$4,$D$5)</f>
        <v>550.54245331724428</v>
      </c>
      <c r="L16" s="4">
        <f>CalcE($D16,$C16,L$13,$D$4,$D$5)</f>
        <v>547.70460561973266</v>
      </c>
      <c r="M16" s="4">
        <f>CalcE($D16,$C16,M$13,$D$4,$D$5)</f>
        <v>544.89586405245211</v>
      </c>
      <c r="N16" s="5">
        <f>CalcE($D16,$C16,N$13,$D$4,$D$5)</f>
        <v>542.11578311340895</v>
      </c>
      <c r="O16" s="4">
        <f>CalcE($D16,$C16,O$13,$D$4,$D$5)</f>
        <v>539.36392634633569</v>
      </c>
      <c r="P16" s="4">
        <f>CalcE($D16,$C16,P$13,$D$4,$D$5)</f>
        <v>536.63986611226346</v>
      </c>
      <c r="Q16" s="4">
        <f>CalcE($D16,$C16,Q$13,$D$4,$D$5)</f>
        <v>533.94318336798062</v>
      </c>
      <c r="R16" s="4">
        <f>CalcE($D16,$C16,R$13,$D$4,$D$5)</f>
        <v>531.27346745114073</v>
      </c>
      <c r="S16" s="4">
        <f>CalcE($D16,$C16,S$13,$D$4,$D$5)</f>
        <v>528.63031587178182</v>
      </c>
      <c r="T16" s="6"/>
    </row>
    <row r="17" spans="3:20" x14ac:dyDescent="0.3">
      <c r="C17" s="51">
        <v>1.2999999999999999E-2</v>
      </c>
      <c r="D17" s="50">
        <f t="shared" si="0"/>
        <v>170.76161538309464</v>
      </c>
      <c r="E17" s="2"/>
      <c r="F17" s="43"/>
      <c r="G17" s="35">
        <f t="shared" si="1"/>
        <v>1.2999999999999999E-2</v>
      </c>
      <c r="H17" s="4">
        <f>CalcE($D17,$C17,H$13,$D$4,$D$5)</f>
        <v>439.17067704149247</v>
      </c>
      <c r="I17" s="4">
        <f>CalcE($D17,$C17,I$13,$D$4,$D$5)</f>
        <v>436.87135412504489</v>
      </c>
      <c r="J17" s="4">
        <f>CalcE($D17,$C17,J$13,$D$4,$D$5)</f>
        <v>434.59598248897686</v>
      </c>
      <c r="K17" s="54">
        <f>CalcE($D17,$C17,K$13,$D$4,$D$5)</f>
        <v>432.34418983359359</v>
      </c>
      <c r="L17" s="4">
        <f>CalcE($D17,$C17,L$13,$D$4,$D$5)</f>
        <v>430.11561153548229</v>
      </c>
      <c r="M17" s="4">
        <f>CalcE($D17,$C17,M$13,$D$4,$D$5)</f>
        <v>427.90989045068488</v>
      </c>
      <c r="N17" s="5">
        <f>CalcE($D17,$C17,N$13,$D$4,$D$5)</f>
        <v>425.72667672389571</v>
      </c>
      <c r="O17" s="4">
        <f>CalcE($D17,$C17,O$13,$D$4,$D$5)</f>
        <v>423.56562760346986</v>
      </c>
      <c r="P17" s="4">
        <f>CalcE($D17,$C17,P$13,$D$4,$D$5)</f>
        <v>421.42640726203814</v>
      </c>
      <c r="Q17" s="4">
        <f>CalcE($D17,$C17,Q$13,$D$4,$D$5)</f>
        <v>419.30868662253044</v>
      </c>
      <c r="R17" s="4">
        <f>CalcE($D17,$C17,R$13,$D$4,$D$5)</f>
        <v>417.21214318941782</v>
      </c>
      <c r="S17" s="4">
        <f>CalcE($D17,$C17,S$13,$D$4,$D$5)</f>
        <v>415.1364608849928</v>
      </c>
      <c r="T17" s="6"/>
    </row>
    <row r="18" spans="3:20" x14ac:dyDescent="0.3">
      <c r="C18" s="49">
        <v>1.4E-2</v>
      </c>
      <c r="D18" s="50">
        <f t="shared" si="0"/>
        <v>170.49605568992172</v>
      </c>
      <c r="E18" s="2"/>
      <c r="F18" s="43"/>
      <c r="G18" s="35">
        <f t="shared" si="1"/>
        <v>1.4E-2</v>
      </c>
      <c r="H18" s="4">
        <f>CalcE($D18,$C18,H$13,$D$4,$D$5)</f>
        <v>351.07779879481797</v>
      </c>
      <c r="I18" s="4">
        <f>CalcE($D18,$C18,I$13,$D$4,$D$5)</f>
        <v>349.23969513620631</v>
      </c>
      <c r="J18" s="4">
        <f>CalcE($D18,$C18,J$13,$D$4,$D$5)</f>
        <v>347.42073839070525</v>
      </c>
      <c r="K18" s="54">
        <f>CalcE($D18,$C18,K$13,$D$4,$D$5)</f>
        <v>345.62063093790363</v>
      </c>
      <c r="L18" s="4">
        <f>CalcE($D18,$C18,L$13,$D$4,$D$5)</f>
        <v>343.8390812938938</v>
      </c>
      <c r="M18" s="4">
        <f>CalcE($D18,$C18,M$13,$D$4,$D$5)</f>
        <v>342.07580395392517</v>
      </c>
      <c r="N18" s="5">
        <f>CalcE($D18,$C18,N$13,$D$4,$D$5)</f>
        <v>340.33051923987455</v>
      </c>
      <c r="O18" s="4">
        <f>CalcE($D18,$C18,O$13,$D$4,$D$5)</f>
        <v>338.60295315236243</v>
      </c>
      <c r="P18" s="4">
        <f>CalcE($D18,$C18,P$13,$D$4,$D$5)</f>
        <v>336.89283722735058</v>
      </c>
      <c r="Q18" s="4">
        <f>CalcE($D18,$C18,Q$13,$D$4,$D$5)</f>
        <v>335.19990839706236</v>
      </c>
      <c r="R18" s="4">
        <f>CalcE($D18,$C18,R$13,$D$4,$D$5)</f>
        <v>333.52390885507708</v>
      </c>
      <c r="S18" s="4">
        <f>CalcE($D18,$C18,S$13,$D$4,$D$5)</f>
        <v>331.86458592544977</v>
      </c>
      <c r="T18" s="6"/>
    </row>
    <row r="19" spans="3:20" x14ac:dyDescent="0.3">
      <c r="C19" s="51">
        <v>1.4999999999999999E-2</v>
      </c>
      <c r="D19" s="50">
        <f t="shared" si="0"/>
        <v>170.23049608629282</v>
      </c>
      <c r="E19" s="2"/>
      <c r="F19" s="43"/>
      <c r="G19" s="35">
        <f t="shared" si="1"/>
        <v>1.4999999999999999E-2</v>
      </c>
      <c r="H19" s="4">
        <f>CalcE($D19,$C19,H$13,$D$4,$D$5)</f>
        <v>284.99466157977923</v>
      </c>
      <c r="I19" s="4">
        <f>CalcE($D19,$C19,I$13,$D$4,$D$5)</f>
        <v>283.5025429327647</v>
      </c>
      <c r="J19" s="4">
        <f>CalcE($D19,$C19,J$13,$D$4,$D$5)</f>
        <v>282.02596718832325</v>
      </c>
      <c r="K19" s="54">
        <f>CalcE($D19,$C19,K$13,$D$4,$D$5)</f>
        <v>280.56469274693296</v>
      </c>
      <c r="L19" s="4">
        <f>CalcE($D19,$C19,L$13,$D$4,$D$5)</f>
        <v>279.11848299050547</v>
      </c>
      <c r="M19" s="4">
        <f>CalcE($D19,$C19,M$13,$D$4,$D$5)</f>
        <v>277.6871061546567</v>
      </c>
      <c r="N19" s="5">
        <f>CalcE($D19,$C19,N$13,$D$4,$D$5)</f>
        <v>276.27033520488806</v>
      </c>
      <c r="O19" s="4">
        <f>CalcE($D19,$C19,O$13,$D$4,$D$5)</f>
        <v>274.86794771653837</v>
      </c>
      <c r="P19" s="4">
        <f>CalcE($D19,$C19,P$13,$D$4,$D$5)</f>
        <v>273.479725758374</v>
      </c>
      <c r="Q19" s="4">
        <f>CalcE($D19,$C19,Q$13,$D$4,$D$5)</f>
        <v>272.10545577968873</v>
      </c>
      <c r="R19" s="4">
        <f>CalcE($D19,$C19,R$13,$D$4,$D$5)</f>
        <v>270.74492850079031</v>
      </c>
      <c r="S19" s="4">
        <f>CalcE($D19,$C19,S$13,$D$4,$D$5)</f>
        <v>269.39793880675654</v>
      </c>
      <c r="T19" s="6"/>
    </row>
    <row r="20" spans="3:20" x14ac:dyDescent="0.3">
      <c r="C20" s="49">
        <v>1.6E-2</v>
      </c>
      <c r="D20" s="50">
        <f t="shared" si="0"/>
        <v>169.96493657240546</v>
      </c>
      <c r="E20" s="2"/>
      <c r="F20" s="43"/>
      <c r="G20" s="35">
        <f t="shared" si="1"/>
        <v>1.6E-2</v>
      </c>
      <c r="H20" s="4">
        <f>CalcE($D20,$C20,H$13,$D$4,$D$5)</f>
        <v>234.46203278261655</v>
      </c>
      <c r="I20" s="4">
        <f>CalcE($D20,$C20,I$13,$D$4,$D$5)</f>
        <v>233.23448287275994</v>
      </c>
      <c r="J20" s="4">
        <f>CalcE($D20,$C20,J$13,$D$4,$D$5)</f>
        <v>232.01971994113097</v>
      </c>
      <c r="K20" s="54">
        <f>CalcE($D20,$C20,K$13,$D$4,$D$5)</f>
        <v>230.81754522641012</v>
      </c>
      <c r="L20" s="4">
        <f>CalcE($D20,$C20,L$13,$D$4,$D$5)</f>
        <v>229.62776406544918</v>
      </c>
      <c r="M20" s="4">
        <f>CalcE($D20,$C20,M$13,$D$4,$D$5)</f>
        <v>228.45018578819048</v>
      </c>
      <c r="N20" s="5">
        <f>CalcE($D20,$C20,N$13,$D$4,$D$5)</f>
        <v>227.28462361580173</v>
      </c>
      <c r="O20" s="4">
        <f>CalcE($D20,$C20,O$13,$D$4,$D$5)</f>
        <v>226.13089456191446</v>
      </c>
      <c r="P20" s="4">
        <f>CalcE($D20,$C20,P$13,$D$4,$D$5)</f>
        <v>224.98881933685428</v>
      </c>
      <c r="Q20" s="4">
        <f>CalcE($D20,$C20,Q$13,$D$4,$D$5)</f>
        <v>223.85822225475954</v>
      </c>
      <c r="R20" s="4">
        <f>CalcE($D20,$C20,R$13,$D$4,$D$5)</f>
        <v>222.7389311434857</v>
      </c>
      <c r="S20" s="4">
        <f>CalcE($D20,$C20,S$13,$D$4,$D$5)</f>
        <v>221.63077725719972</v>
      </c>
      <c r="T20" s="6"/>
    </row>
    <row r="21" spans="3:20" x14ac:dyDescent="0.3">
      <c r="C21" s="51">
        <v>1.7000000000000001E-2</v>
      </c>
      <c r="D21" s="50">
        <f t="shared" si="0"/>
        <v>169.69937714845759</v>
      </c>
      <c r="E21" s="2"/>
      <c r="F21" s="43"/>
      <c r="G21" s="35">
        <f t="shared" si="1"/>
        <v>1.7000000000000001E-2</v>
      </c>
      <c r="H21" s="4">
        <f>CalcE($D21,$C21,H$13,$D$4,$D$5)</f>
        <v>195.16710568524874</v>
      </c>
      <c r="I21" s="4">
        <f>CalcE($D21,$C21,I$13,$D$4,$D$5)</f>
        <v>194.14528837799614</v>
      </c>
      <c r="J21" s="4">
        <f>CalcE($D21,$C21,J$13,$D$4,$D$5)</f>
        <v>193.1341150010274</v>
      </c>
      <c r="K21" s="54">
        <f>CalcE($D21,$C21,K$13,$D$4,$D$5)</f>
        <v>192.13342010464902</v>
      </c>
      <c r="L21" s="4">
        <f>CalcE($D21,$C21,L$13,$D$4,$D$5)</f>
        <v>191.14304165050135</v>
      </c>
      <c r="M21" s="4">
        <f>CalcE($D21,$C21,M$13,$D$4,$D$5)</f>
        <v>190.16282092408849</v>
      </c>
      <c r="N21" s="5">
        <f>CalcE($D21,$C21,N$13,$D$4,$D$5)</f>
        <v>189.19260244998603</v>
      </c>
      <c r="O21" s="4">
        <f>CalcE($D21,$C21,O$13,$D$4,$D$5)</f>
        <v>188.23223390963074</v>
      </c>
      <c r="P21" s="4">
        <f>CalcE($D21,$C21,P$13,$D$4,$D$5)</f>
        <v>187.28156606160232</v>
      </c>
      <c r="Q21" s="4">
        <f>CalcE($D21,$C21,Q$13,$D$4,$D$5)</f>
        <v>186.34045266430783</v>
      </c>
      <c r="R21" s="4">
        <f>CalcE($D21,$C21,R$13,$D$4,$D$5)</f>
        <v>185.40875040098626</v>
      </c>
      <c r="S21" s="4">
        <f>CalcE($D21,$C21,S$13,$D$4,$D$5)</f>
        <v>184.48631880695157</v>
      </c>
      <c r="T21" s="6"/>
    </row>
    <row r="22" spans="3:20" x14ac:dyDescent="0.3">
      <c r="C22" s="49">
        <v>1.7999999999999999E-2</v>
      </c>
      <c r="D22" s="50">
        <f t="shared" si="0"/>
        <v>169.43381781464817</v>
      </c>
      <c r="E22" s="2"/>
      <c r="F22" s="43"/>
      <c r="G22" s="35">
        <f t="shared" si="1"/>
        <v>1.7999999999999999E-2</v>
      </c>
      <c r="H22" s="4">
        <f>CalcE($D22,$C22,H$13,$D$4,$D$5)</f>
        <v>164.15560608624287</v>
      </c>
      <c r="I22" s="4">
        <f>CalcE($D22,$C22,I$13,$D$4,$D$5)</f>
        <v>163.29615265123638</v>
      </c>
      <c r="J22" s="4">
        <f>CalcE($D22,$C22,J$13,$D$4,$D$5)</f>
        <v>162.44565185617782</v>
      </c>
      <c r="K22" s="54">
        <f>CalcE($D22,$C22,K$13,$D$4,$D$5)</f>
        <v>161.60396454086086</v>
      </c>
      <c r="L22" s="4">
        <f>CalcE($D22,$C22,L$13,$D$4,$D$5)</f>
        <v>160.77095441436157</v>
      </c>
      <c r="M22" s="4">
        <f>CalcE($D22,$C22,M$13,$D$4,$D$5)</f>
        <v>159.94648798146741</v>
      </c>
      <c r="N22" s="5">
        <f>CalcE($D22,$C22,N$13,$D$4,$D$5)</f>
        <v>159.13043447135789</v>
      </c>
      <c r="O22" s="4">
        <f>CalcE($D22,$C22,O$13,$D$4,$D$5)</f>
        <v>158.32266576845757</v>
      </c>
      <c r="P22" s="4">
        <f>CalcE($D22,$C22,P$13,$D$4,$D$5)</f>
        <v>157.52305634538456</v>
      </c>
      <c r="Q22" s="4">
        <f>CalcE($D22,$C22,Q$13,$D$4,$D$5)</f>
        <v>156.73148319792034</v>
      </c>
      <c r="R22" s="4">
        <f>CalcE($D22,$C22,R$13,$D$4,$D$5)</f>
        <v>155.94782578193073</v>
      </c>
      <c r="S22" s="4">
        <f>CalcE($D22,$C22,S$13,$D$4,$D$5)</f>
        <v>155.17196595216987</v>
      </c>
      <c r="T22" s="6"/>
    </row>
    <row r="23" spans="3:20" x14ac:dyDescent="0.3">
      <c r="C23" s="51">
        <v>1.9E-2</v>
      </c>
      <c r="D23" s="50">
        <f t="shared" si="0"/>
        <v>169.16825857117715</v>
      </c>
      <c r="E23" s="2"/>
      <c r="F23" s="43"/>
      <c r="G23" s="35">
        <f t="shared" si="1"/>
        <v>1.9E-2</v>
      </c>
      <c r="H23" s="4">
        <f>CalcE($D23,$C23,H$13,$D$4,$D$5)</f>
        <v>139.35777805346993</v>
      </c>
      <c r="I23" s="4">
        <f>CalcE($D23,$C23,I$13,$D$4,$D$5)</f>
        <v>138.62815617884445</v>
      </c>
      <c r="J23" s="4">
        <f>CalcE($D23,$C23,J$13,$D$4,$D$5)</f>
        <v>137.90613453207959</v>
      </c>
      <c r="K23" s="54">
        <f>CalcE($D23,$C23,K$13,$D$4,$D$5)</f>
        <v>137.19159497491856</v>
      </c>
      <c r="L23" s="4">
        <f>CalcE($D23,$C23,L$13,$D$4,$D$5)</f>
        <v>136.48442180494479</v>
      </c>
      <c r="M23" s="4">
        <f>CalcE($D23,$C23,M$13,$D$4,$D$5)</f>
        <v>135.78450169312453</v>
      </c>
      <c r="N23" s="5">
        <f>CalcE($D23,$C23,N$13,$D$4,$D$5)</f>
        <v>135.09172362326166</v>
      </c>
      <c r="O23" s="4">
        <f>CalcE($D23,$C23,O$13,$D$4,$D$5)</f>
        <v>134.40597883329585</v>
      </c>
      <c r="P23" s="4">
        <f>CalcE($D23,$C23,P$13,$D$4,$D$5)</f>
        <v>133.72716075838022</v>
      </c>
      <c r="Q23" s="4">
        <f>CalcE($D23,$C23,Q$13,$D$4,$D$5)</f>
        <v>133.05516497567478</v>
      </c>
      <c r="R23" s="4">
        <f>CalcE($D23,$C23,R$13,$D$4,$D$5)</f>
        <v>132.38988915079642</v>
      </c>
      <c r="S23" s="4">
        <f>CalcE($D23,$C23,S$13,$D$4,$D$5)</f>
        <v>131.73123298586708</v>
      </c>
      <c r="T23" s="6"/>
    </row>
    <row r="24" spans="3:20" x14ac:dyDescent="0.3">
      <c r="C24" s="49">
        <v>0.02</v>
      </c>
      <c r="D24" s="50">
        <f t="shared" si="0"/>
        <v>168.90269941824502</v>
      </c>
      <c r="E24" s="2"/>
      <c r="F24" s="43"/>
      <c r="G24" s="35">
        <f t="shared" si="1"/>
        <v>0.02</v>
      </c>
      <c r="H24" s="4">
        <f>CalcE($D24,$C24,H$13,$D$4,$D$5)</f>
        <v>119.29431314426321</v>
      </c>
      <c r="I24" s="4">
        <f>CalcE($D24,$C24,I$13,$D$4,$D$5)</f>
        <v>118.66973558853411</v>
      </c>
      <c r="J24" s="4">
        <f>CalcE($D24,$C24,J$13,$D$4,$D$5)</f>
        <v>118.05166404901048</v>
      </c>
      <c r="K24" s="54">
        <f>CalcE($D24,$C24,K$13,$D$4,$D$5)</f>
        <v>117.4399973959068</v>
      </c>
      <c r="L24" s="4">
        <f>CalcE($D24,$C24,L$13,$D$4,$D$5)</f>
        <v>116.83463658458768</v>
      </c>
      <c r="M24" s="4">
        <f>CalcE($D24,$C24,M$13,$D$4,$D$5)</f>
        <v>116.23548460210263</v>
      </c>
      <c r="N24" s="5">
        <f>CalcE($D24,$C24,N$13,$D$4,$D$5)</f>
        <v>115.64244641535721</v>
      </c>
      <c r="O24" s="4">
        <f>CalcE($D24,$C24,O$13,$D$4,$D$5)</f>
        <v>115.05542892086301</v>
      </c>
      <c r="P24" s="4">
        <f>CalcE($D24,$C24,P$13,$D$4,$D$5)</f>
        <v>114.47434089601016</v>
      </c>
      <c r="Q24" s="4">
        <f>CalcE($D24,$C24,Q$13,$D$4,$D$5)</f>
        <v>113.89909295180911</v>
      </c>
      <c r="R24" s="4">
        <f>CalcE($D24,$C24,R$13,$D$4,$D$5)</f>
        <v>113.32959748705005</v>
      </c>
      <c r="S24" s="4">
        <f>CalcE($D24,$C24,S$13,$D$4,$D$5)</f>
        <v>112.76576864383091</v>
      </c>
      <c r="T24" s="6"/>
    </row>
    <row r="25" spans="3:20" x14ac:dyDescent="0.3">
      <c r="C25" s="51">
        <v>2.1000000000000001E-2</v>
      </c>
      <c r="D25" s="50">
        <f t="shared" si="0"/>
        <v>168.63714035605361</v>
      </c>
      <c r="E25" s="2"/>
      <c r="F25" s="43"/>
      <c r="G25" s="35">
        <f t="shared" si="1"/>
        <v>2.1000000000000001E-2</v>
      </c>
      <c r="H25" s="4">
        <f>CalcE($D25,$C25,H$13,$D$4,$D$5)</f>
        <v>102.88889009309746</v>
      </c>
      <c r="I25" s="4">
        <f>CalcE($D25,$C25,I$13,$D$4,$D$5)</f>
        <v>102.35020480465195</v>
      </c>
      <c r="J25" s="4">
        <f>CalcE($D25,$C25,J$13,$D$4,$D$5)</f>
        <v>101.81713082129438</v>
      </c>
      <c r="K25" s="54">
        <f>CalcE($D25,$C25,K$13,$D$4,$D$5)</f>
        <v>101.28958092066591</v>
      </c>
      <c r="L25" s="4">
        <f>CalcE($D25,$C25,L$13,$D$4,$D$5)</f>
        <v>100.7674696788068</v>
      </c>
      <c r="M25" s="4">
        <f>CalcE($D25,$C25,M$13,$D$4,$D$5)</f>
        <v>100.25071342404368</v>
      </c>
      <c r="N25" s="5">
        <f>CalcE($D25,$C25,N$13,$D$4,$D$5)</f>
        <v>99.73923019228836</v>
      </c>
      <c r="O25" s="4">
        <f>CalcE($D25,$C25,O$13,$D$4,$D$5)</f>
        <v>99.232939683698078</v>
      </c>
      <c r="P25" s="4">
        <f>CalcE($D25,$C25,P$13,$D$4,$D$5)</f>
        <v>98.731763220649086</v>
      </c>
      <c r="Q25" s="4">
        <f>CalcE($D25,$C25,Q$13,$D$4,$D$5)</f>
        <v>98.235623706977492</v>
      </c>
      <c r="R25" s="4">
        <f>CalcE($D25,$C25,R$13,$D$4,$D$5)</f>
        <v>97.744445588442588</v>
      </c>
      <c r="S25" s="4">
        <f>CalcE($D25,$C25,S$13,$D$4,$D$5)</f>
        <v>97.258154814370727</v>
      </c>
      <c r="T25" s="6"/>
    </row>
    <row r="26" spans="3:20" x14ac:dyDescent="0.3">
      <c r="C26" s="49">
        <v>2.1999999999999999E-2</v>
      </c>
      <c r="D26" s="50">
        <f t="shared" si="0"/>
        <v>168.37158138480527</v>
      </c>
      <c r="E26" s="2"/>
      <c r="F26" s="43"/>
      <c r="G26" s="35">
        <f t="shared" si="1"/>
        <v>2.1999999999999999E-2</v>
      </c>
      <c r="H26" s="4">
        <f>CalcE($D26,$C26,H$13,$D$4,$D$5)</f>
        <v>89.345747338852689</v>
      </c>
      <c r="I26" s="4">
        <f>CalcE($D26,$C26,I$13,$D$4,$D$5)</f>
        <v>88.877968556973869</v>
      </c>
      <c r="J26" s="4">
        <f>CalcE($D26,$C26,J$13,$D$4,$D$5)</f>
        <v>88.415062470739628</v>
      </c>
      <c r="K26" s="54">
        <f>CalcE($D26,$C26,K$13,$D$4,$D$5)</f>
        <v>87.956953338766894</v>
      </c>
      <c r="L26" s="4">
        <f>CalcE($D26,$C26,L$13,$D$4,$D$5)</f>
        <v>87.503566981350588</v>
      </c>
      <c r="M26" s="4">
        <f>CalcE($D26,$C26,M$13,$D$4,$D$5)</f>
        <v>87.054830740420556</v>
      </c>
      <c r="N26" s="5">
        <f>CalcE($D26,$C26,N$13,$D$4,$D$5)</f>
        <v>86.61067344072454</v>
      </c>
      <c r="O26" s="4">
        <f>CalcE($D26,$C26,O$13,$D$4,$D$5)</f>
        <v>86.171025352192956</v>
      </c>
      <c r="P26" s="4">
        <f>CalcE($D26,$C26,P$13,$D$4,$D$5)</f>
        <v>85.735818153444498</v>
      </c>
      <c r="Q26" s="4">
        <f>CalcE($D26,$C26,Q$13,$D$4,$D$5)</f>
        <v>85.304984896392014</v>
      </c>
      <c r="R26" s="4">
        <f>CalcE($D26,$C26,R$13,$D$4,$D$5)</f>
        <v>84.878459971910061</v>
      </c>
      <c r="S26" s="4">
        <f>CalcE($D26,$C26,S$13,$D$4,$D$5)</f>
        <v>84.45617907652742</v>
      </c>
      <c r="T26" s="6"/>
    </row>
    <row r="27" spans="3:20" x14ac:dyDescent="0.3">
      <c r="C27" s="51">
        <v>2.3E-2</v>
      </c>
      <c r="D27" s="50">
        <f t="shared" si="0"/>
        <v>168.10602250470328</v>
      </c>
      <c r="E27" s="2"/>
      <c r="F27" s="43"/>
      <c r="G27" s="35">
        <f t="shared" si="1"/>
        <v>2.3E-2</v>
      </c>
      <c r="H27" s="4">
        <f>CalcE($D27,$C27,H$13,$D$4,$D$5)</f>
        <v>78.06797276987237</v>
      </c>
      <c r="I27" s="4">
        <f>CalcE($D27,$C27,I$13,$D$4,$D$5)</f>
        <v>77.659239928145269</v>
      </c>
      <c r="J27" s="4">
        <f>CalcE($D27,$C27,J$13,$D$4,$D$5)</f>
        <v>77.254764720186188</v>
      </c>
      <c r="K27" s="54">
        <f>CalcE($D27,$C27,K$13,$D$4,$D$5)</f>
        <v>76.854480965159311</v>
      </c>
      <c r="L27" s="4">
        <f>CalcE($D27,$C27,L$13,$D$4,$D$5)</f>
        <v>76.458323846782207</v>
      </c>
      <c r="M27" s="4">
        <f>CalcE($D27,$C27,M$13,$D$4,$D$5)</f>
        <v>76.066229878337154</v>
      </c>
      <c r="N27" s="5">
        <f>CalcE($D27,$C27,N$13,$D$4,$D$5)</f>
        <v>75.678136868753811</v>
      </c>
      <c r="O27" s="4">
        <f>CalcE($D27,$C27,O$13,$D$4,$D$5)</f>
        <v>75.293983889724615</v>
      </c>
      <c r="P27" s="4">
        <f>CalcE($D27,$C27,P$13,$D$4,$D$5)</f>
        <v>74.913711243816905</v>
      </c>
      <c r="Q27" s="4">
        <f>CalcE($D27,$C27,Q$13,$D$4,$D$5)</f>
        <v>74.537260433546464</v>
      </c>
      <c r="R27" s="4">
        <f>CalcE($D27,$C27,R$13,$D$4,$D$5)</f>
        <v>74.164574131378743</v>
      </c>
      <c r="S27" s="4">
        <f>CalcE($D27,$C27,S$13,$D$4,$D$5)</f>
        <v>73.795596150625613</v>
      </c>
      <c r="T27" s="6"/>
    </row>
    <row r="28" spans="3:20" x14ac:dyDescent="0.3">
      <c r="C28" s="49">
        <v>2.4E-2</v>
      </c>
      <c r="D28" s="50">
        <f t="shared" si="0"/>
        <v>167.84046371595187</v>
      </c>
      <c r="E28" s="2"/>
      <c r="F28" s="43"/>
      <c r="G28" s="35">
        <f t="shared" si="1"/>
        <v>2.4E-2</v>
      </c>
      <c r="H28" s="4">
        <f>CalcE($D28,$C28,H$13,$D$4,$D$5)</f>
        <v>68.601890352584689</v>
      </c>
      <c r="I28" s="4">
        <f>CalcE($D28,$C28,I$13,$D$4,$D$5)</f>
        <v>68.242718151785823</v>
      </c>
      <c r="J28" s="4">
        <f>CalcE($D28,$C28,J$13,$D$4,$D$5)</f>
        <v>67.8872873280786</v>
      </c>
      <c r="K28" s="54">
        <f>CalcE($D28,$C28,K$13,$D$4,$D$5)</f>
        <v>67.535539725342431</v>
      </c>
      <c r="L28" s="4">
        <f>CalcE($D28,$C28,L$13,$D$4,$D$5)</f>
        <v>67.187418386552011</v>
      </c>
      <c r="M28" s="4">
        <f>CalcE($D28,$C28,M$13,$D$4,$D$5)</f>
        <v>66.842867523031245</v>
      </c>
      <c r="N28" s="5">
        <f>CalcE($D28,$C28,N$13,$D$4,$D$5)</f>
        <v>66.501832484648432</v>
      </c>
      <c r="O28" s="4">
        <f>CalcE($D28,$C28,O$13,$D$4,$D$5)</f>
        <v>66.164259730919241</v>
      </c>
      <c r="P28" s="4">
        <f>CalcE($D28,$C28,P$13,$D$4,$D$5)</f>
        <v>65.83009680298531</v>
      </c>
      <c r="Q28" s="4">
        <f>CalcE($D28,$C28,Q$13,$D$4,$D$5)</f>
        <v>65.499292296437645</v>
      </c>
      <c r="R28" s="4">
        <f>CalcE($D28,$C28,R$13,$D$4,$D$5)</f>
        <v>65.171795834955461</v>
      </c>
      <c r="S28" s="4">
        <f>CalcE($D28,$C28,S$13,$D$4,$D$5)</f>
        <v>64.847558044731798</v>
      </c>
      <c r="T28" s="6"/>
    </row>
    <row r="29" spans="3:20" x14ac:dyDescent="0.3">
      <c r="C29" s="51">
        <v>2.5000000000000001E-2</v>
      </c>
      <c r="D29" s="50">
        <f t="shared" si="0"/>
        <v>167.5749050187562</v>
      </c>
      <c r="E29" s="2"/>
      <c r="F29" s="43"/>
      <c r="G29" s="35">
        <f t="shared" si="1"/>
        <v>2.5000000000000001E-2</v>
      </c>
      <c r="H29" s="4">
        <f>CalcE($D29,$C29,H$13,$D$4,$D$5)</f>
        <v>60.598530578850799</v>
      </c>
      <c r="I29" s="4">
        <f>CalcE($D29,$C29,I$13,$D$4,$D$5)</f>
        <v>60.281260785244235</v>
      </c>
      <c r="J29" s="4">
        <f>CalcE($D29,$C29,J$13,$D$4,$D$5)</f>
        <v>59.967295885321093</v>
      </c>
      <c r="K29" s="54">
        <f>CalcE($D29,$C29,K$13,$D$4,$D$5)</f>
        <v>59.656584507676946</v>
      </c>
      <c r="L29" s="4">
        <f>CalcE($D29,$C29,L$13,$D$4,$D$5)</f>
        <v>59.349076340111601</v>
      </c>
      <c r="M29" s="4">
        <f>CalcE($D29,$C29,M$13,$D$4,$D$5)</f>
        <v>59.044722102469997</v>
      </c>
      <c r="N29" s="5">
        <f>CalcE($D29,$C29,N$13,$D$4,$D$5)</f>
        <v>58.743473520314545</v>
      </c>
      <c r="O29" s="4">
        <f>CalcE($D29,$C29,O$13,$D$4,$D$5)</f>
        <v>58.44528329939925</v>
      </c>
      <c r="P29" s="4">
        <f>CalcE($D29,$C29,P$13,$D$4,$D$5)</f>
        <v>58.150105100917429</v>
      </c>
      <c r="Q29" s="4">
        <f>CalcE($D29,$C29,Q$13,$D$4,$D$5)</f>
        <v>57.857893517495725</v>
      </c>
      <c r="R29" s="4">
        <f>CalcE($D29,$C29,R$13,$D$4,$D$5)</f>
        <v>57.568604049908252</v>
      </c>
      <c r="S29" s="4">
        <f>CalcE($D29,$C29,S$13,$D$4,$D$5)</f>
        <v>57.282193084485826</v>
      </c>
      <c r="T29" s="6"/>
    </row>
    <row r="30" spans="3:20" x14ac:dyDescent="0.3">
      <c r="C30" s="49">
        <v>2.5999999999999999E-2</v>
      </c>
      <c r="D30" s="50">
        <f t="shared" si="0"/>
        <v>167.30934641332223</v>
      </c>
      <c r="E30" s="2"/>
      <c r="F30" s="43"/>
      <c r="G30" s="35">
        <f t="shared" si="1"/>
        <v>2.5999999999999999E-2</v>
      </c>
      <c r="H30" s="4">
        <f>CalcE($D30,$C30,H$13,$D$4,$D$5)</f>
        <v>53.786501415193449</v>
      </c>
      <c r="I30" s="4">
        <f>CalcE($D30,$C30,I$13,$D$4,$D$5)</f>
        <v>53.504896695742183</v>
      </c>
      <c r="J30" s="4">
        <f>CalcE($D30,$C30,J$13,$D$4,$D$5)</f>
        <v>53.226225358785179</v>
      </c>
      <c r="K30" s="54">
        <f>CalcE($D30,$C30,K$13,$D$4,$D$5)</f>
        <v>52.950441807703399</v>
      </c>
      <c r="L30" s="4">
        <f>CalcE($D30,$C30,L$13,$D$4,$D$5)</f>
        <v>52.6775013860142</v>
      </c>
      <c r="M30" s="4">
        <f>CalcE($D30,$C30,M$13,$D$4,$D$5)</f>
        <v>52.40736035326541</v>
      </c>
      <c r="N30" s="5">
        <f>CalcE($D30,$C30,N$13,$D$4,$D$5)</f>
        <v>52.139975861667118</v>
      </c>
      <c r="O30" s="4">
        <f>CalcE($D30,$C30,O$13,$D$4,$D$5)</f>
        <v>51.875305933435307</v>
      </c>
      <c r="P30" s="4">
        <f>CalcE($D30,$C30,P$13,$D$4,$D$5)</f>
        <v>51.613309438822</v>
      </c>
      <c r="Q30" s="4">
        <f>CalcE($D30,$C30,Q$13,$D$4,$D$5)</f>
        <v>51.353946074807816</v>
      </c>
      <c r="R30" s="4">
        <f>CalcE($D30,$C30,R$13,$D$4,$D$5)</f>
        <v>51.097176344433784</v>
      </c>
      <c r="S30" s="4">
        <f>CalcE($D30,$C30,S$13,$D$4,$D$5)</f>
        <v>50.842961536750032</v>
      </c>
      <c r="T30" s="6"/>
    </row>
    <row r="31" spans="3:20" x14ac:dyDescent="0.3">
      <c r="C31" s="51">
        <v>2.7E-2</v>
      </c>
      <c r="D31" s="50">
        <f t="shared" si="0"/>
        <v>167.04378789985688</v>
      </c>
      <c r="E31" s="2"/>
      <c r="F31" s="43"/>
      <c r="G31" s="35">
        <f t="shared" si="1"/>
        <v>2.7E-2</v>
      </c>
      <c r="H31" s="4">
        <f>CalcE($D31,$C31,H$13,$D$4,$D$5)</f>
        <v>47.952601634506358</v>
      </c>
      <c r="I31" s="4">
        <f>CalcE($D31,$C31,I$13,$D$4,$D$5)</f>
        <v>47.701540892964438</v>
      </c>
      <c r="J31" s="4">
        <f>CalcE($D31,$C31,J$13,$D$4,$D$5)</f>
        <v>47.453095367480245</v>
      </c>
      <c r="K31" s="54">
        <f>CalcE($D31,$C31,K$13,$D$4,$D$5)</f>
        <v>47.207224407026985</v>
      </c>
      <c r="L31" s="4">
        <f>CalcE($D31,$C31,L$13,$D$4,$D$5)</f>
        <v>46.963888198743348</v>
      </c>
      <c r="M31" s="4">
        <f>CalcE($D31,$C31,M$13,$D$4,$D$5)</f>
        <v>46.723047746442091</v>
      </c>
      <c r="N31" s="5">
        <f>CalcE($D31,$C31,N$13,$D$4,$D$5)</f>
        <v>46.484664849776564</v>
      </c>
      <c r="O31" s="4">
        <f>CalcE($D31,$C31,O$13,$D$4,$D$5)</f>
        <v>46.24870208404166</v>
      </c>
      <c r="P31" s="4">
        <f>CalcE($D31,$C31,P$13,$D$4,$D$5)</f>
        <v>46.015122780586914</v>
      </c>
      <c r="Q31" s="4">
        <f>CalcE($D31,$C31,Q$13,$D$4,$D$5)</f>
        <v>45.783891007820145</v>
      </c>
      <c r="R31" s="4">
        <f>CalcE($D31,$C31,R$13,$D$4,$D$5)</f>
        <v>45.554971552781033</v>
      </c>
      <c r="S31" s="4">
        <f>CalcE($D31,$C31,S$13,$D$4,$D$5)</f>
        <v>45.328329903264716</v>
      </c>
      <c r="T31" s="6"/>
    </row>
    <row r="32" spans="3:20" x14ac:dyDescent="0.3">
      <c r="C32" s="49">
        <v>2.8000000000000001E-2</v>
      </c>
      <c r="D32" s="50">
        <f t="shared" si="0"/>
        <v>166.77822947856794</v>
      </c>
      <c r="E32" s="2"/>
      <c r="F32" s="43"/>
      <c r="G32" s="35">
        <f t="shared" si="1"/>
        <v>2.8000000000000001E-2</v>
      </c>
      <c r="H32" s="4">
        <f>CalcE($D32,$C32,H$13,$D$4,$D$5)</f>
        <v>42.927777313746503</v>
      </c>
      <c r="I32" s="4">
        <f>CalcE($D32,$C32,I$13,$D$4,$D$5)</f>
        <v>42.703024552941542</v>
      </c>
      <c r="J32" s="4">
        <f>CalcE($D32,$C32,J$13,$D$4,$D$5)</f>
        <v>42.480612966728316</v>
      </c>
      <c r="K32" s="54">
        <f>CalcE($D32,$C32,K$13,$D$4,$D$5)</f>
        <v>42.260506163791895</v>
      </c>
      <c r="L32" s="4">
        <f>CalcE($D32,$C32,L$13,$D$4,$D$5)</f>
        <v>42.042668503153784</v>
      </c>
      <c r="M32" s="4">
        <f>CalcE($D32,$C32,M$13,$D$4,$D$5)</f>
        <v>41.827065074932484</v>
      </c>
      <c r="N32" s="5">
        <f>CalcE($D32,$C32,N$13,$D$4,$D$5)</f>
        <v>41.613661681693031</v>
      </c>
      <c r="O32" s="4">
        <f>CalcE($D32,$C32,O$13,$D$4,$D$5)</f>
        <v>41.402424820364644</v>
      </c>
      <c r="P32" s="4">
        <f>CalcE($D32,$C32,P$13,$D$4,$D$5)</f>
        <v>41.193321664706232</v>
      </c>
      <c r="Q32" s="4">
        <f>CalcE($D32,$C32,Q$13,$D$4,$D$5)</f>
        <v>40.986320048300676</v>
      </c>
      <c r="R32" s="4">
        <f>CalcE($D32,$C32,R$13,$D$4,$D$5)</f>
        <v>40.781388448059175</v>
      </c>
      <c r="S32" s="4">
        <f>CalcE($D32,$C32,S$13,$D$4,$D$5)</f>
        <v>40.578495968218085</v>
      </c>
      <c r="T32" s="6"/>
    </row>
    <row r="33" spans="3:20" x14ac:dyDescent="0.3">
      <c r="C33" s="51">
        <v>2.9000000000000001E-2</v>
      </c>
      <c r="D33" s="50">
        <f t="shared" si="0"/>
        <v>166.51267114966416</v>
      </c>
      <c r="E33" s="2"/>
      <c r="F33" s="43"/>
      <c r="G33" s="35">
        <f t="shared" si="1"/>
        <v>2.9000000000000001E-2</v>
      </c>
      <c r="H33" s="4">
        <f>CalcE($D33,$C33,H$13,$D$4,$D$5)</f>
        <v>38.576820604893349</v>
      </c>
      <c r="I33" s="4">
        <f>CalcE($D33,$C33,I$13,$D$4,$D$5)</f>
        <v>38.374847722145212</v>
      </c>
      <c r="J33" s="4">
        <f>CalcE($D33,$C33,J$13,$D$4,$D$5)</f>
        <v>38.174978723592375</v>
      </c>
      <c r="K33" s="54">
        <f>CalcE($D33,$C33,K$13,$D$4,$D$5)</f>
        <v>37.977180906371686</v>
      </c>
      <c r="L33" s="4">
        <f>CalcE($D33,$C33,L$13,$D$4,$D$5)</f>
        <v>37.781422241905851</v>
      </c>
      <c r="M33" s="4">
        <f>CalcE($D33,$C33,M$13,$D$4,$D$5)</f>
        <v>37.587671358614024</v>
      </c>
      <c r="N33" s="5">
        <f>CalcE($D33,$C33,N$13,$D$4,$D$5)</f>
        <v>37.39589752515171</v>
      </c>
      <c r="O33" s="4">
        <f>CalcE($D33,$C33,O$13,$D$4,$D$5)</f>
        <v>37.206070634161101</v>
      </c>
      <c r="P33" s="4">
        <f>CalcE($D33,$C33,P$13,$D$4,$D$5)</f>
        <v>37.018161186513815</v>
      </c>
      <c r="Q33" s="4">
        <f>CalcE($D33,$C33,Q$13,$D$4,$D$5)</f>
        <v>36.832140276028824</v>
      </c>
      <c r="R33" s="4">
        <f>CalcE($D33,$C33,R$13,$D$4,$D$5)</f>
        <v>36.64797957464868</v>
      </c>
      <c r="S33" s="4">
        <f>CalcE($D33,$C33,S$13,$D$4,$D$5)</f>
        <v>36.465651318058384</v>
      </c>
      <c r="T33" s="6"/>
    </row>
    <row r="34" spans="3:20" x14ac:dyDescent="0.3">
      <c r="C34" s="49">
        <v>0.03</v>
      </c>
      <c r="D34" s="50">
        <f t="shared" si="0"/>
        <v>166.24711291335524</v>
      </c>
      <c r="E34" s="2"/>
      <c r="F34" s="43"/>
      <c r="G34" s="35">
        <f t="shared" si="1"/>
        <v>0.03</v>
      </c>
      <c r="H34" s="4">
        <f>CalcE($D34,$C34,H$13,$D$4,$D$5)</f>
        <v>34.790725496196863</v>
      </c>
      <c r="I34" s="4">
        <f>CalcE($D34,$C34,I$13,$D$4,$D$5)</f>
        <v>34.608575100928817</v>
      </c>
      <c r="J34" s="4">
        <f>CalcE($D34,$C34,J$13,$D$4,$D$5)</f>
        <v>34.428322105611478</v>
      </c>
      <c r="K34" s="54">
        <f>CalcE($D34,$C34,K$13,$D$4,$D$5)</f>
        <v>34.24993701698137</v>
      </c>
      <c r="L34" s="4">
        <f>CalcE($D34,$C34,L$13,$D$4,$D$5)</f>
        <v>34.073390949883517</v>
      </c>
      <c r="M34" s="4">
        <f>CalcE($D34,$C34,M$13,$D$4,$D$5)</f>
        <v>33.898655611678997</v>
      </c>
      <c r="N34" s="5">
        <f>CalcE($D34,$C34,N$13,$D$4,$D$5)</f>
        <v>33.725703287129612</v>
      </c>
      <c r="O34" s="4">
        <f>CalcE($D34,$C34,O$13,$D$4,$D$5)</f>
        <v>33.554506823743168</v>
      </c>
      <c r="P34" s="4">
        <f>CalcE($D34,$C34,P$13,$D$4,$D$5)</f>
        <v>33.385039617562647</v>
      </c>
      <c r="Q34" s="4">
        <f>CalcE($D34,$C34,Q$13,$D$4,$D$5)</f>
        <v>33.217275599383939</v>
      </c>
      <c r="R34" s="4">
        <f>CalcE($D34,$C34,R$13,$D$4,$D$5)</f>
        <v>33.05118922138702</v>
      </c>
      <c r="S34" s="4">
        <f>CalcE($D34,$C34,S$13,$D$4,$D$5)</f>
        <v>32.886755444166191</v>
      </c>
      <c r="T34" s="6"/>
    </row>
    <row r="35" spans="3:20" x14ac:dyDescent="0.3">
      <c r="C35" s="51">
        <v>3.1E-2</v>
      </c>
      <c r="D35" s="50">
        <f t="shared" si="0"/>
        <v>165.98155476985173</v>
      </c>
      <c r="E35" s="2"/>
      <c r="F35" s="43"/>
      <c r="G35" s="35">
        <f t="shared" si="1"/>
        <v>3.1E-2</v>
      </c>
      <c r="H35" s="4">
        <f>CalcE($D35,$C35,H$13,$D$4,$D$5)</f>
        <v>31.480953965501893</v>
      </c>
      <c r="I35" s="4">
        <f>CalcE($D35,$C35,I$13,$D$4,$D$5)</f>
        <v>31.316132216991413</v>
      </c>
      <c r="J35" s="4">
        <f>CalcE($D35,$C35,J$13,$D$4,$D$5)</f>
        <v>31.15302736169458</v>
      </c>
      <c r="K35" s="54">
        <f>CalcE($D35,$C35,K$13,$D$4,$D$5)</f>
        <v>30.991612712152126</v>
      </c>
      <c r="L35" s="4">
        <f>CalcE($D35,$C35,L$13,$D$4,$D$5)</f>
        <v>30.831862131161646</v>
      </c>
      <c r="M35" s="4">
        <f>CalcE($D35,$C35,M$13,$D$4,$D$5)</f>
        <v>30.67375001766851</v>
      </c>
      <c r="N35" s="5">
        <f>CalcE($D35,$C35,N$13,$D$4,$D$5)</f>
        <v>30.517251293088567</v>
      </c>
      <c r="O35" s="4">
        <f>CalcE($D35,$C35,O$13,$D$4,$D$5)</f>
        <v>30.362341388047511</v>
      </c>
      <c r="P35" s="4">
        <f>CalcE($D35,$C35,P$13,$D$4,$D$5)</f>
        <v>30.208996229522015</v>
      </c>
      <c r="Q35" s="4">
        <f>CalcE($D35,$C35,Q$13,$D$4,$D$5)</f>
        <v>30.057192228368638</v>
      </c>
      <c r="R35" s="4">
        <f>CalcE($D35,$C35,R$13,$D$4,$D$5)</f>
        <v>29.906906267226798</v>
      </c>
      <c r="S35" s="4">
        <f>CalcE($D35,$C35,S$13,$D$4,$D$5)</f>
        <v>29.75811568878288</v>
      </c>
      <c r="T35" s="6"/>
    </row>
    <row r="36" spans="3:20" x14ac:dyDescent="0.3">
      <c r="C36" s="49">
        <v>3.2000000000000001E-2</v>
      </c>
      <c r="D36" s="53">
        <f t="shared" si="0"/>
        <v>165.71599671936514</v>
      </c>
      <c r="E36" s="2"/>
      <c r="F36" s="43"/>
      <c r="G36" s="35">
        <f t="shared" si="1"/>
        <v>3.2000000000000001E-2</v>
      </c>
      <c r="H36" s="5">
        <f>CalcE($D36,$C36,H$13,$D$4,$D$5)</f>
        <v>28.575091897607233</v>
      </c>
      <c r="I36" s="5">
        <f>CalcE($D36,$C36,I$13,$D$4,$D$5)</f>
        <v>28.425484086624998</v>
      </c>
      <c r="J36" s="5">
        <f>CalcE($D36,$C36,J$13,$D$4,$D$5)</f>
        <v>28.277434690340495</v>
      </c>
      <c r="K36" s="5">
        <f>CalcE($D36,$C36,K$13,$D$4,$D$5)</f>
        <v>28.130919484691059</v>
      </c>
      <c r="L36" s="5">
        <f>CalcE($D36,$C36,L$13,$D$4,$D$5)</f>
        <v>27.985914745079249</v>
      </c>
      <c r="M36" s="5">
        <f>CalcE($D36,$C36,M$13,$D$4,$D$5)</f>
        <v>27.842397233566018</v>
      </c>
      <c r="N36" s="52">
        <f>CalcE($D36,$C36,N$13,$D$4,$D$5)</f>
        <v>27.70034418645599</v>
      </c>
      <c r="O36" s="4">
        <f>CalcE($D36,$C36,O$13,$D$4,$D$5)</f>
        <v>27.559733302260785</v>
      </c>
      <c r="P36" s="4">
        <f>CalcE($D36,$C36,P$13,$D$4,$D$5)</f>
        <v>27.420542730027144</v>
      </c>
      <c r="Q36" s="4">
        <f>CalcE($D36,$C36,Q$13,$D$4,$D$5)</f>
        <v>27.282751058016959</v>
      </c>
      <c r="R36" s="4">
        <f>CalcE($D36,$C36,R$13,$D$4,$D$5)</f>
        <v>27.146337302726867</v>
      </c>
      <c r="S36" s="4">
        <f>CalcE($D36,$C36,S$13,$D$4,$D$5)</f>
        <v>27.011280898235693</v>
      </c>
      <c r="T36" s="6"/>
    </row>
    <row r="37" spans="3:20" x14ac:dyDescent="0.3">
      <c r="C37" s="51">
        <v>3.3000000000000002E-2</v>
      </c>
      <c r="D37" s="50">
        <f t="shared" si="0"/>
        <v>165.45043876210795</v>
      </c>
      <c r="E37" s="2"/>
      <c r="F37" s="43"/>
      <c r="G37" s="35">
        <f t="shared" si="1"/>
        <v>3.3000000000000002E-2</v>
      </c>
      <c r="H37" s="4">
        <f>CalcE($D37,$C37,H$13,$D$4,$D$5)</f>
        <v>26.013527104157195</v>
      </c>
      <c r="I37" s="4">
        <f>CalcE($D37,$C37,I$13,$D$4,$D$5)</f>
        <v>25.877330627172078</v>
      </c>
      <c r="J37" s="4">
        <f>CalcE($D37,$C37,J$13,$D$4,$D$5)</f>
        <v>25.742552863488889</v>
      </c>
      <c r="K37" s="4">
        <f>CalcE($D37,$C37,K$13,$D$4,$D$5)</f>
        <v>25.609171760569257</v>
      </c>
      <c r="L37" s="4">
        <f>CalcE($D37,$C37,L$13,$D$4,$D$5)</f>
        <v>25.477165720566319</v>
      </c>
      <c r="M37" s="4">
        <f>CalcE($D37,$C37,M$13,$D$4,$D$5)</f>
        <v>25.346513588665985</v>
      </c>
      <c r="N37" s="4">
        <f>CalcE($D37,$C37,N$13,$D$4,$D$5)</f>
        <v>25.217194641785035</v>
      </c>
      <c r="O37" s="4">
        <f>CalcE($D37,$C37,O$13,$D$4,$D$5)</f>
        <v>25.089188577613534</v>
      </c>
      <c r="P37" s="4">
        <f>CalcE($D37,$C37,P$13,$D$4,$D$5)</f>
        <v>24.962475503989225</v>
      </c>
      <c r="Q37" s="4">
        <f>CalcE($D37,$C37,Q$13,$D$4,$D$5)</f>
        <v>24.837035928592293</v>
      </c>
      <c r="R37" s="4">
        <f>CalcE($D37,$C37,R$13,$D$4,$D$5)</f>
        <v>24.712850748949332</v>
      </c>
      <c r="S37" s="4">
        <f>CalcE($D37,$C37,S$13,$D$4,$D$5)</f>
        <v>24.589901242735653</v>
      </c>
      <c r="T37" s="6"/>
    </row>
    <row r="38" spans="3:20" x14ac:dyDescent="0.3">
      <c r="C38" s="49">
        <v>3.4000000000000002E-2</v>
      </c>
      <c r="D38" s="50">
        <f t="shared" si="0"/>
        <v>165.18488089829361</v>
      </c>
      <c r="E38" s="2"/>
      <c r="F38" s="43"/>
      <c r="G38" s="35">
        <f t="shared" si="1"/>
        <v>3.4000000000000002E-2</v>
      </c>
      <c r="H38" s="4">
        <f>CalcE($D38,$C38,H$13,$D$4,$D$5)</f>
        <v>23.746886737008506</v>
      </c>
      <c r="I38" s="4">
        <f>CalcE($D38,$C38,I$13,$D$4,$D$5)</f>
        <v>23.622557487076524</v>
      </c>
      <c r="J38" s="4">
        <f>CalcE($D38,$C38,J$13,$D$4,$D$5)</f>
        <v>23.499523333498001</v>
      </c>
      <c r="K38" s="4">
        <f>CalcE($D38,$C38,K$13,$D$4,$D$5)</f>
        <v>23.377764145241535</v>
      </c>
      <c r="L38" s="4">
        <f>CalcE($D38,$C38,L$13,$D$4,$D$5)</f>
        <v>23.257260206348541</v>
      </c>
      <c r="M38" s="4">
        <f>CalcE($D38,$C38,M$13,$D$4,$D$5)</f>
        <v>23.137992205290338</v>
      </c>
      <c r="N38" s="4">
        <f>CalcE($D38,$C38,N$13,$D$4,$D$5)</f>
        <v>23.019941224651106</v>
      </c>
      <c r="O38" s="4">
        <f>CalcE($D38,$C38,O$13,$D$4,$D$5)</f>
        <v>22.903088731124956</v>
      </c>
      <c r="P38" s="4">
        <f>CalcE($D38,$C38,P$13,$D$4,$D$5)</f>
        <v>22.787416565816248</v>
      </c>
      <c r="Q38" s="4">
        <f>CalcE($D38,$C38,Q$13,$D$4,$D$5)</f>
        <v>22.672906934832245</v>
      </c>
      <c r="R38" s="4">
        <f>CalcE($D38,$C38,R$13,$D$4,$D$5)</f>
        <v>22.55954240015808</v>
      </c>
      <c r="S38" s="4">
        <f>CalcE($D38,$C38,S$13,$D$4,$D$5)</f>
        <v>22.447305870804062</v>
      </c>
      <c r="T38" s="6"/>
    </row>
    <row r="39" spans="3:20" x14ac:dyDescent="0.3">
      <c r="C39" s="51">
        <v>3.5000000000000003E-2</v>
      </c>
      <c r="D39" s="50">
        <f t="shared" si="0"/>
        <v>164.91932312813637</v>
      </c>
      <c r="E39" s="2"/>
      <c r="F39" s="43"/>
      <c r="G39" s="35">
        <f t="shared" si="1"/>
        <v>3.5000000000000003E-2</v>
      </c>
      <c r="H39" s="4">
        <f>CalcE($D39,$C39,H$13,$D$4,$D$5)</f>
        <v>21.734044305769338</v>
      </c>
      <c r="I39" s="4">
        <f>CalcE($D39,$C39,I$13,$D$4,$D$5)</f>
        <v>21.620253497885724</v>
      </c>
      <c r="J39" s="4">
        <f>CalcE($D39,$C39,J$13,$D$4,$D$5)</f>
        <v>21.507648010917574</v>
      </c>
      <c r="K39" s="4">
        <f>CalcE($D39,$C39,K$13,$D$4,$D$5)</f>
        <v>21.396209420187429</v>
      </c>
      <c r="L39" s="4">
        <f>CalcE($D39,$C39,L$13,$D$4,$D$5)</f>
        <v>21.285919680908115</v>
      </c>
      <c r="M39" s="4">
        <f>CalcE($D39,$C39,M$13,$D$4,$D$5)</f>
        <v>21.176761118441917</v>
      </c>
      <c r="N39" s="4">
        <f>CalcE($D39,$C39,N$13,$D$4,$D$5)</f>
        <v>21.068716418858028</v>
      </c>
      <c r="O39" s="4">
        <f>CalcE($D39,$C39,O$13,$D$4,$D$5)</f>
        <v>20.961768619777533</v>
      </c>
      <c r="P39" s="4">
        <f>CalcE($D39,$C39,P$13,$D$4,$D$5)</f>
        <v>20.855901101495828</v>
      </c>
      <c r="Q39" s="4">
        <f>CalcE($D39,$C39,Q$13,$D$4,$D$5)</f>
        <v>20.751097578372736</v>
      </c>
      <c r="R39" s="4">
        <f>CalcE($D39,$C39,R$13,$D$4,$D$5)</f>
        <v>20.647342090480869</v>
      </c>
      <c r="S39" s="4">
        <f>CalcE($D39,$C39,S$13,$D$4,$D$5)</f>
        <v>20.544618995503349</v>
      </c>
      <c r="T39" s="6"/>
    </row>
    <row r="40" spans="3:20" x14ac:dyDescent="0.3">
      <c r="C40" s="49">
        <v>3.5999999999999997E-2</v>
      </c>
      <c r="D40" s="50">
        <f t="shared" si="0"/>
        <v>164.65376545185163</v>
      </c>
      <c r="E40" s="2"/>
      <c r="F40" s="43"/>
      <c r="G40" s="35">
        <f t="shared" si="1"/>
        <v>3.5999999999999997E-2</v>
      </c>
      <c r="H40" s="4">
        <f>CalcE($D40,$C40,H$13,$D$4,$D$5)</f>
        <v>19.940557772606919</v>
      </c>
      <c r="I40" s="4">
        <f>CalcE($D40,$C40,I$13,$D$4,$D$5)</f>
        <v>19.836156946572331</v>
      </c>
      <c r="J40" s="4">
        <f>CalcE($D40,$C40,J$13,$D$4,$D$5)</f>
        <v>19.732843629142266</v>
      </c>
      <c r="K40" s="4">
        <f>CalcE($D40,$C40,K$13,$D$4,$D$5)</f>
        <v>19.630600916037903</v>
      </c>
      <c r="L40" s="4">
        <f>CalcE($D40,$C40,L$13,$D$4,$D$5)</f>
        <v>19.529412251522242</v>
      </c>
      <c r="M40" s="4">
        <f>CalcE($D40,$C40,M$13,$D$4,$D$5)</f>
        <v>19.429261419463153</v>
      </c>
      <c r="N40" s="4">
        <f>CalcE($D40,$C40,N$13,$D$4,$D$5)</f>
        <v>19.330132534669971</v>
      </c>
      <c r="O40" s="4">
        <f>CalcE($D40,$C40,O$13,$D$4,$D$5)</f>
        <v>19.232010034493985</v>
      </c>
      <c r="P40" s="4">
        <f>CalcE($D40,$C40,P$13,$D$4,$D$5)</f>
        <v>19.13487867068341</v>
      </c>
      <c r="Q40" s="4">
        <f>CalcE($D40,$C40,Q$13,$D$4,$D$5)</f>
        <v>19.038723501483993</v>
      </c>
      <c r="R40" s="4">
        <f>CalcE($D40,$C40,R$13,$D$4,$D$5)</f>
        <v>18.943529883976574</v>
      </c>
      <c r="S40" s="4">
        <f>CalcE($D40,$C40,S$13,$D$4,$D$5)</f>
        <v>18.849283466643357</v>
      </c>
      <c r="T40" s="6"/>
    </row>
    <row r="41" spans="3:20" x14ac:dyDescent="0.3">
      <c r="C41" s="51">
        <v>3.6999999999999998E-2</v>
      </c>
      <c r="D41" s="50">
        <f t="shared" si="0"/>
        <v>164.38820786965559</v>
      </c>
      <c r="E41" s="2"/>
      <c r="F41" s="43"/>
      <c r="G41" s="35">
        <f t="shared" si="1"/>
        <v>3.6999999999999998E-2</v>
      </c>
      <c r="H41" s="4">
        <f>CalcE($D41,$C41,H$13,$D$4,$D$5)</f>
        <v>18.337436633551178</v>
      </c>
      <c r="I41" s="4">
        <f>CalcE($D41,$C41,I$13,$D$4,$D$5)</f>
        <v>18.241429111909547</v>
      </c>
      <c r="J41" s="4">
        <f>CalcE($D41,$C41,J$13,$D$4,$D$5)</f>
        <v>18.146421668618355</v>
      </c>
      <c r="K41" s="4">
        <f>CalcE($D41,$C41,K$13,$D$4,$D$5)</f>
        <v>18.052398758418256</v>
      </c>
      <c r="L41" s="4">
        <f>CalcE($D41,$C41,L$13,$D$4,$D$5)</f>
        <v>17.959345156570738</v>
      </c>
      <c r="M41" s="4">
        <f>CalcE($D41,$C41,M$13,$D$4,$D$5)</f>
        <v>17.86724595063961</v>
      </c>
      <c r="N41" s="4">
        <f>CalcE($D41,$C41,N$13,$D$4,$D$5)</f>
        <v>17.776086532524097</v>
      </c>
      <c r="O41" s="4">
        <f>CalcE($D41,$C41,O$13,$D$4,$D$5)</f>
        <v>17.685852590734637</v>
      </c>
      <c r="P41" s="4">
        <f>CalcE($D41,$C41,P$13,$D$4,$D$5)</f>
        <v>17.596530102902644</v>
      </c>
      <c r="Q41" s="4">
        <f>CalcE($D41,$C41,Q$13,$D$4,$D$5)</f>
        <v>17.508105328516198</v>
      </c>
      <c r="R41" s="4">
        <f>CalcE($D41,$C41,R$13,$D$4,$D$5)</f>
        <v>17.420564801873617</v>
      </c>
      <c r="S41" s="4">
        <f>CalcE($D41,$C41,S$13,$D$4,$D$5)</f>
        <v>17.333895325247379</v>
      </c>
      <c r="T41" s="6"/>
    </row>
    <row r="42" spans="3:20" x14ac:dyDescent="0.3">
      <c r="C42" s="49">
        <v>3.7999999999999999E-2</v>
      </c>
      <c r="D42" s="50">
        <f t="shared" si="0"/>
        <v>164.12265038176562</v>
      </c>
      <c r="E42" s="2"/>
      <c r="F42" s="43"/>
      <c r="G42" s="35">
        <f t="shared" si="1"/>
        <v>3.7999999999999999E-2</v>
      </c>
      <c r="H42" s="4">
        <f>CalcE($D42,$C42,H$13,$D$4,$D$5)</f>
        <v>16.900162062484444</v>
      </c>
      <c r="I42" s="4">
        <f>CalcE($D42,$C42,I$13,$D$4,$D$5)</f>
        <v>16.81167953859709</v>
      </c>
      <c r="J42" s="4">
        <f>CalcE($D42,$C42,J$13,$D$4,$D$5)</f>
        <v>16.724118707666896</v>
      </c>
      <c r="K42" s="4">
        <f>CalcE($D42,$C42,K$13,$D$4,$D$5)</f>
        <v>16.637465242860333</v>
      </c>
      <c r="L42" s="4">
        <f>CalcE($D42,$C42,L$13,$D$4,$D$5)</f>
        <v>16.551705112742493</v>
      </c>
      <c r="M42" s="4">
        <f>CalcE($D42,$C42,M$13,$D$4,$D$5)</f>
        <v>16.466824573702787</v>
      </c>
      <c r="N42" s="4">
        <f>CalcE($D42,$C42,N$13,$D$4,$D$5)</f>
        <v>16.382810162612468</v>
      </c>
      <c r="O42" s="4">
        <f>CalcE($D42,$C42,O$13,$D$4,$D$5)</f>
        <v>16.299648689705805</v>
      </c>
      <c r="P42" s="4">
        <f>CalcE($D42,$C42,P$13,$D$4,$D$5)</f>
        <v>16.217327231676986</v>
      </c>
      <c r="Q42" s="4">
        <f>CalcE($D42,$C42,Q$13,$D$4,$D$5)</f>
        <v>16.135833124985144</v>
      </c>
      <c r="R42" s="4">
        <f>CalcE($D42,$C42,R$13,$D$4,$D$5)</f>
        <v>16.055153959360219</v>
      </c>
      <c r="S42" s="4">
        <f>CalcE($D42,$C42,S$13,$D$4,$D$5)</f>
        <v>15.975277571502705</v>
      </c>
      <c r="T42" s="6"/>
    </row>
    <row r="43" spans="3:20" x14ac:dyDescent="0.3">
      <c r="C43" s="51">
        <v>3.9E-2</v>
      </c>
      <c r="D43" s="50">
        <f t="shared" si="0"/>
        <v>163.85709298839984</v>
      </c>
      <c r="E43" s="2"/>
      <c r="F43" s="43"/>
      <c r="G43" s="35">
        <f t="shared" si="1"/>
        <v>3.9E-2</v>
      </c>
      <c r="H43" s="4">
        <f>CalcE($D43,$C43,H$13,$D$4,$D$5)</f>
        <v>15.60790316964408</v>
      </c>
      <c r="I43" s="4">
        <f>CalcE($D43,$C43,I$13,$D$4,$D$5)</f>
        <v>15.526186399122382</v>
      </c>
      <c r="J43" s="4">
        <f>CalcE($D43,$C43,J$13,$D$4,$D$5)</f>
        <v>15.445320844960287</v>
      </c>
      <c r="K43" s="4">
        <f>CalcE($D43,$C43,K$13,$D$4,$D$5)</f>
        <v>15.365293275815414</v>
      </c>
      <c r="L43" s="4">
        <f>CalcE($D43,$C43,L$13,$D$4,$D$5)</f>
        <v>15.286090733156572</v>
      </c>
      <c r="M43" s="4">
        <f>CalcE($D43,$C43,M$13,$D$4,$D$5)</f>
        <v>15.207700524268589</v>
      </c>
      <c r="N43" s="4">
        <f>CalcE($D43,$C43,N$13,$D$4,$D$5)</f>
        <v>15.130110215471301</v>
      </c>
      <c r="O43" s="4">
        <f>CalcE($D43,$C43,O$13,$D$4,$D$5)</f>
        <v>15.053307625545052</v>
      </c>
      <c r="P43" s="4">
        <f>CalcE($D43,$C43,P$13,$D$4,$D$5)</f>
        <v>14.97728081935543</v>
      </c>
      <c r="Q43" s="4">
        <f>CalcE($D43,$C43,Q$13,$D$4,$D$5)</f>
        <v>14.902018101670228</v>
      </c>
      <c r="R43" s="4">
        <f>CalcE($D43,$C43,R$13,$D$4,$D$5)</f>
        <v>14.827508011161877</v>
      </c>
      <c r="S43" s="4">
        <f>CalcE($D43,$C43,S$13,$D$4,$D$5)</f>
        <v>14.753739314588932</v>
      </c>
      <c r="T43" s="6"/>
    </row>
    <row r="44" spans="3:20" x14ac:dyDescent="0.3">
      <c r="C44" s="49">
        <v>0.04</v>
      </c>
      <c r="D44" s="50">
        <f t="shared" si="0"/>
        <v>163.5915356897776</v>
      </c>
      <c r="E44" s="2"/>
      <c r="F44" s="43"/>
      <c r="G44" s="35">
        <f t="shared" si="1"/>
        <v>0.04</v>
      </c>
      <c r="H44" s="4">
        <f>CalcE($D44,$C44,H$13,$D$4,$D$5)</f>
        <v>14.442886313795613</v>
      </c>
      <c r="I44" s="4">
        <f>CalcE($D44,$C44,I$13,$D$4,$D$5)</f>
        <v>14.367269107964225</v>
      </c>
      <c r="J44" s="4">
        <f>CalcE($D44,$C44,J$13,$D$4,$D$5)</f>
        <v>14.292439581360243</v>
      </c>
      <c r="K44" s="4">
        <f>CalcE($D44,$C44,K$13,$D$4,$D$5)</f>
        <v>14.21838549026511</v>
      </c>
      <c r="L44" s="4">
        <f>CalcE($D44,$C44,L$13,$D$4,$D$5)</f>
        <v>14.145094843408074</v>
      </c>
      <c r="M44" s="4">
        <f>CalcE($D44,$C44,M$13,$D$4,$D$5)</f>
        <v>14.072555895493162</v>
      </c>
      <c r="N44" s="4">
        <f>CalcE($D44,$C44,N$13,$D$4,$D$5)</f>
        <v>14.000757140924321</v>
      </c>
      <c r="O44" s="4">
        <f>CalcE($D44,$C44,O$13,$D$4,$D$5)</f>
        <v>13.929687307721659</v>
      </c>
      <c r="P44" s="4">
        <f>CalcE($D44,$C44,P$13,$D$4,$D$5)</f>
        <v>13.859335351622052</v>
      </c>
      <c r="Q44" s="4">
        <f>CalcE($D44,$C44,Q$13,$D$4,$D$5)</f>
        <v>13.789690450357622</v>
      </c>
      <c r="R44" s="4">
        <f>CalcE($D44,$C44,R$13,$D$4,$D$5)</f>
        <v>13.720741998105833</v>
      </c>
      <c r="S44" s="4">
        <f>CalcE($D44,$C44,S$13,$D$4,$D$5)</f>
        <v>13.652479600105307</v>
      </c>
      <c r="T44" s="6"/>
    </row>
    <row r="45" spans="3:20" ht="15.65" thickBot="1" x14ac:dyDescent="0.35">
      <c r="C45" s="7"/>
      <c r="D45" s="9"/>
      <c r="F45" s="7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9"/>
    </row>
  </sheetData>
  <mergeCells count="5">
    <mergeCell ref="H12:S12"/>
    <mergeCell ref="F14:F44"/>
    <mergeCell ref="B2:F2"/>
    <mergeCell ref="G11:S11"/>
    <mergeCell ref="C11:D11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35"/>
  <sheetViews>
    <sheetView workbookViewId="0">
      <selection activeCell="C26" sqref="C26"/>
    </sheetView>
  </sheetViews>
  <sheetFormatPr defaultRowHeight="15.05" x14ac:dyDescent="0.3"/>
  <cols>
    <col min="1" max="1" width="8.88671875" customWidth="1"/>
    <col min="2" max="2" width="62.5546875" customWidth="1"/>
    <col min="4" max="4" width="11.21875" bestFit="1" customWidth="1"/>
    <col min="5" max="5" width="12.109375" bestFit="1" customWidth="1"/>
    <col min="6" max="15" width="10.5546875" bestFit="1" customWidth="1"/>
  </cols>
  <sheetData>
    <row r="2" spans="2:5" ht="35.700000000000003" customHeight="1" x14ac:dyDescent="0.3">
      <c r="B2" s="32" t="s">
        <v>52</v>
      </c>
      <c r="C2" s="32"/>
      <c r="D2" s="32"/>
      <c r="E2" s="32"/>
    </row>
    <row r="3" spans="2:5" ht="15.65" thickBot="1" x14ac:dyDescent="0.35">
      <c r="B3" t="s">
        <v>7</v>
      </c>
      <c r="C3" t="s">
        <v>8</v>
      </c>
      <c r="D3" t="s">
        <v>9</v>
      </c>
      <c r="E3" t="s">
        <v>10</v>
      </c>
    </row>
    <row r="4" spans="2:5" ht="15.65" thickBot="1" x14ac:dyDescent="0.35">
      <c r="B4" s="11" t="s">
        <v>3</v>
      </c>
      <c r="C4" s="12" t="s">
        <v>11</v>
      </c>
      <c r="D4" s="13">
        <v>25</v>
      </c>
      <c r="E4" t="s">
        <v>4</v>
      </c>
    </row>
    <row r="5" spans="2:5" ht="15.65" thickBot="1" x14ac:dyDescent="0.35">
      <c r="B5" s="11" t="s">
        <v>13</v>
      </c>
      <c r="C5" s="12" t="s">
        <v>0</v>
      </c>
      <c r="D5" s="20">
        <f>27.79*10^3</f>
        <v>27790</v>
      </c>
      <c r="E5" t="s">
        <v>5</v>
      </c>
    </row>
    <row r="6" spans="2:5" ht="15.65" thickBot="1" x14ac:dyDescent="0.35">
      <c r="C6" s="12"/>
      <c r="D6" s="14">
        <f>D5*6.895</f>
        <v>191612.05</v>
      </c>
      <c r="E6" t="s">
        <v>6</v>
      </c>
    </row>
    <row r="7" spans="2:5" ht="15.65" thickBot="1" x14ac:dyDescent="0.35">
      <c r="B7" s="11" t="s">
        <v>14</v>
      </c>
      <c r="C7" s="12" t="s">
        <v>12</v>
      </c>
      <c r="D7" s="13">
        <v>2.5</v>
      </c>
      <c r="E7" t="s">
        <v>31</v>
      </c>
    </row>
    <row r="8" spans="2:5" ht="15.65" thickBot="1" x14ac:dyDescent="0.35">
      <c r="B8" s="11" t="s">
        <v>15</v>
      </c>
      <c r="C8" s="10" t="s">
        <v>18</v>
      </c>
      <c r="D8" s="13">
        <v>1.31</v>
      </c>
      <c r="E8" t="s">
        <v>2</v>
      </c>
    </row>
    <row r="9" spans="2:5" ht="15.65" thickBot="1" x14ac:dyDescent="0.35">
      <c r="B9" s="11" t="s">
        <v>16</v>
      </c>
      <c r="C9" s="15" t="s">
        <v>19</v>
      </c>
      <c r="D9" s="13">
        <v>7.18</v>
      </c>
      <c r="E9" t="s">
        <v>2</v>
      </c>
    </row>
    <row r="10" spans="2:5" ht="15.65" thickBot="1" x14ac:dyDescent="0.35">
      <c r="B10" s="11" t="s">
        <v>20</v>
      </c>
      <c r="C10" s="15" t="s">
        <v>21</v>
      </c>
      <c r="D10" s="18">
        <v>13</v>
      </c>
      <c r="E10" t="s">
        <v>22</v>
      </c>
    </row>
    <row r="11" spans="2:5" ht="15.65" thickBot="1" x14ac:dyDescent="0.35">
      <c r="B11" s="11" t="s">
        <v>25</v>
      </c>
      <c r="C11" s="15" t="s">
        <v>24</v>
      </c>
      <c r="D11" s="13">
        <v>0.04</v>
      </c>
      <c r="E11" t="s">
        <v>2</v>
      </c>
    </row>
    <row r="12" spans="2:5" ht="15.65" thickBot="1" x14ac:dyDescent="0.35">
      <c r="B12" s="11" t="s">
        <v>26</v>
      </c>
      <c r="C12" s="15" t="s">
        <v>23</v>
      </c>
      <c r="D12" s="16">
        <v>0.19</v>
      </c>
      <c r="E12" s="1" t="s">
        <v>2</v>
      </c>
    </row>
    <row r="13" spans="2:5" s="29" customFormat="1" x14ac:dyDescent="0.3">
      <c r="B13" s="28"/>
      <c r="C13" s="15"/>
      <c r="D13" s="21"/>
      <c r="E13" s="21"/>
    </row>
    <row r="14" spans="2:5" s="29" customFormat="1" x14ac:dyDescent="0.3">
      <c r="B14" s="28"/>
      <c r="C14" s="15"/>
      <c r="D14" s="21"/>
      <c r="E14" s="21"/>
    </row>
    <row r="15" spans="2:5" ht="33.200000000000003" customHeight="1" x14ac:dyDescent="0.3">
      <c r="B15" s="32" t="s">
        <v>49</v>
      </c>
      <c r="C15" s="32"/>
      <c r="D15" s="32"/>
      <c r="E15" s="32"/>
    </row>
    <row r="16" spans="2:5" x14ac:dyDescent="0.3">
      <c r="B16" s="11" t="s">
        <v>28</v>
      </c>
      <c r="C16" s="12" t="s">
        <v>1</v>
      </c>
      <c r="D16" s="3">
        <f>(D4*4*PI()^2*D7^2)*10^-4</f>
        <v>0.61685027506808499</v>
      </c>
      <c r="E16" t="s">
        <v>17</v>
      </c>
    </row>
    <row r="17" spans="2:5" x14ac:dyDescent="0.3">
      <c r="B17" s="23" t="s">
        <v>27</v>
      </c>
      <c r="C17" s="24" t="s">
        <v>29</v>
      </c>
      <c r="D17" s="30">
        <f>(D6*D12*D11^3)/(12*D16*0.001)</f>
        <v>314.77148536879906</v>
      </c>
      <c r="E17" s="31" t="s">
        <v>2</v>
      </c>
    </row>
    <row r="18" spans="2:5" x14ac:dyDescent="0.3">
      <c r="B18" s="11" t="s">
        <v>30</v>
      </c>
      <c r="C18" s="15" t="s">
        <v>0</v>
      </c>
      <c r="D18">
        <f>((12*D16*D17)/(D12*D11^3))*(1/6.895)*0.000001</f>
        <v>27.790000000000003</v>
      </c>
      <c r="E18" s="21" t="s">
        <v>5</v>
      </c>
    </row>
    <row r="19" spans="2:5" x14ac:dyDescent="0.3">
      <c r="B19" s="11"/>
      <c r="C19" s="15"/>
      <c r="E19" s="21"/>
    </row>
    <row r="20" spans="2:5" x14ac:dyDescent="0.3">
      <c r="B20" s="11"/>
      <c r="C20" s="15"/>
      <c r="E20" s="21"/>
    </row>
    <row r="21" spans="2:5" ht="32.6" customHeight="1" x14ac:dyDescent="0.3">
      <c r="B21" s="32" t="s">
        <v>50</v>
      </c>
      <c r="C21" s="32"/>
      <c r="D21" s="32"/>
      <c r="E21" s="32"/>
    </row>
    <row r="22" spans="2:5" x14ac:dyDescent="0.3">
      <c r="C22" s="15" t="s">
        <v>32</v>
      </c>
      <c r="D22">
        <f xml:space="preserve"> D9/2 - D8/2</f>
        <v>2.9349999999999996</v>
      </c>
      <c r="E22" t="s">
        <v>2</v>
      </c>
    </row>
    <row r="23" spans="2:5" x14ac:dyDescent="0.3">
      <c r="B23" s="11" t="s">
        <v>40</v>
      </c>
      <c r="C23" s="15" t="s">
        <v>33</v>
      </c>
      <c r="D23" s="17">
        <f xml:space="preserve"> ((D22/D10) - D11/2)</f>
        <v>0.20576923076923076</v>
      </c>
      <c r="E23" t="s">
        <v>2</v>
      </c>
    </row>
    <row r="24" spans="2:5" x14ac:dyDescent="0.3">
      <c r="B24" s="11" t="s">
        <v>41</v>
      </c>
      <c r="C24" s="15" t="s">
        <v>34</v>
      </c>
      <c r="D24" s="17">
        <f>D23/(2*PI())</f>
        <v>3.2749190213140003E-2</v>
      </c>
      <c r="E24" t="s">
        <v>43</v>
      </c>
    </row>
    <row r="25" spans="2:5" x14ac:dyDescent="0.3">
      <c r="B25" s="11" t="s">
        <v>42</v>
      </c>
      <c r="C25" s="15" t="s">
        <v>35</v>
      </c>
      <c r="D25">
        <f>D8/2</f>
        <v>0.65500000000000003</v>
      </c>
      <c r="E25" t="s">
        <v>2</v>
      </c>
    </row>
    <row r="26" spans="2:5" x14ac:dyDescent="0.3">
      <c r="B26" s="11" t="s">
        <v>45</v>
      </c>
      <c r="C26" s="15" t="s">
        <v>44</v>
      </c>
      <c r="D26" s="22">
        <f>D10*2*PI()</f>
        <v>81.681408993334628</v>
      </c>
      <c r="E26" t="s">
        <v>46</v>
      </c>
    </row>
    <row r="27" spans="2:5" x14ac:dyDescent="0.3">
      <c r="B27" s="11" t="s">
        <v>48</v>
      </c>
      <c r="C27" s="15" t="s">
        <v>47</v>
      </c>
      <c r="D27">
        <v>0</v>
      </c>
      <c r="E27" t="s">
        <v>46</v>
      </c>
    </row>
    <row r="28" spans="2:5" x14ac:dyDescent="0.3">
      <c r="B28" s="23" t="s">
        <v>39</v>
      </c>
      <c r="C28" s="24" t="s">
        <v>29</v>
      </c>
      <c r="D28" s="25">
        <f xml:space="preserve"> D24 * (((D25 + D24 * D26) * SQRT((D24)^2 + (D25 + D24 * D26)^2)) / (2 * (D24)^2) -
    ((D25 + D24 * D27) * SQRT((D24)^2 + (D25 + D24 * D27)^2)) / (2 * (D24)^2) +
    0.5 *
    (LOG(ABS(D25 + D24 * D26 + SQRT((D24)^2 + (D25 + D24 * D26)^2)) / ABS(D24)) -
    LOG(ABS(D25 + D24 * D27 + SQRT((D24)^2 + (D25 + D24 * D27)^2)) / ABS(D24))))</f>
        <v>162.76177185048684</v>
      </c>
      <c r="E28" s="26" t="s">
        <v>2</v>
      </c>
    </row>
    <row r="29" spans="2:5" x14ac:dyDescent="0.3">
      <c r="B29" s="23"/>
      <c r="C29" s="24"/>
      <c r="D29" s="25"/>
      <c r="E29" s="26"/>
    </row>
    <row r="30" spans="2:5" x14ac:dyDescent="0.3">
      <c r="B30" s="23"/>
      <c r="C30" s="24"/>
      <c r="D30" s="25"/>
      <c r="E30" s="26"/>
    </row>
    <row r="31" spans="2:5" ht="34.450000000000003" customHeight="1" thickBot="1" x14ac:dyDescent="0.35">
      <c r="B31" s="32" t="s">
        <v>51</v>
      </c>
      <c r="C31" s="32"/>
      <c r="D31" s="32"/>
      <c r="E31" s="32"/>
    </row>
    <row r="32" spans="2:5" ht="15.65" thickBot="1" x14ac:dyDescent="0.35">
      <c r="B32" s="11" t="s">
        <v>36</v>
      </c>
      <c r="C32" s="15" t="s">
        <v>24</v>
      </c>
      <c r="D32" s="13">
        <v>3.2000000000000001E-2</v>
      </c>
      <c r="E32" t="s">
        <v>2</v>
      </c>
    </row>
    <row r="33" spans="2:5" ht="15.65" thickBot="1" x14ac:dyDescent="0.35">
      <c r="B33" s="11" t="s">
        <v>37</v>
      </c>
      <c r="C33" s="15" t="s">
        <v>23</v>
      </c>
      <c r="D33" s="13">
        <v>0.193</v>
      </c>
      <c r="E33" t="s">
        <v>2</v>
      </c>
    </row>
    <row r="34" spans="2:5" x14ac:dyDescent="0.3">
      <c r="B34" s="23" t="s">
        <v>38</v>
      </c>
      <c r="C34" s="24" t="s">
        <v>0</v>
      </c>
      <c r="D34" s="27">
        <f xml:space="preserve"> ((12*D16*D28)/(D33*D32^3))*(1/6.895)*0.000001</f>
        <v>27.629428592037435</v>
      </c>
      <c r="E34" s="26" t="s">
        <v>2</v>
      </c>
    </row>
    <row r="35" spans="2:5" x14ac:dyDescent="0.3">
      <c r="B35" s="11"/>
      <c r="C35" s="15"/>
      <c r="D35" s="19"/>
    </row>
  </sheetData>
  <mergeCells count="4">
    <mergeCell ref="B15:E15"/>
    <mergeCell ref="B21:E21"/>
    <mergeCell ref="B31:E31"/>
    <mergeCell ref="B2:E2"/>
  </mergeCell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Tabular Calculator</vt:lpstr>
      <vt:lpstr>Single Input Calculator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2022-11-21T17:43:09Z</dcterms:modified>
</cp:coreProperties>
</file>